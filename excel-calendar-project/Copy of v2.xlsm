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חוברת_עבודה_זו"/>
  <mc:AlternateContent xmlns:mc="http://schemas.openxmlformats.org/markup-compatibility/2006">
    <mc:Choice Requires="x15">
      <x15ac:absPath xmlns:x15ac="http://schemas.microsoft.com/office/spreadsheetml/2010/11/ac" url="D:\Estiven\Trabajo\Freelancer 2\excel-calendar-project\"/>
    </mc:Choice>
  </mc:AlternateContent>
  <xr:revisionPtr revIDLastSave="0" documentId="13_ncr:1_{23FDF443-2872-40B9-8CF2-DB5A620074C5}" xr6:coauthVersionLast="47" xr6:coauthVersionMax="47" xr10:uidLastSave="{00000000-0000-0000-0000-000000000000}"/>
  <bookViews>
    <workbookView xWindow="0" yWindow="0" windowWidth="14400" windowHeight="15600" tabRatio="798" activeTab="1" xr2:uid="{00000000-000D-0000-FFFF-FFFF00000000}"/>
  </bookViews>
  <sheets>
    <sheet name="פרטים אישיים" sheetId="5" r:id="rId1"/>
    <sheet name="Question 1" sheetId="1" r:id="rId2"/>
    <sheet name="Question 2" sheetId="2" r:id="rId3"/>
    <sheet name="Question 3" sheetId="7" r:id="rId4"/>
    <sheet name="Question 4" sheetId="12" r:id="rId5"/>
    <sheet name="Question 5" sheetId="10" r:id="rId6"/>
    <sheet name="Question 6" sheetId="11" r:id="rId7"/>
    <sheet name="Question 7" sheetId="3" r:id="rId8"/>
    <sheet name="Question 8" sheetId="13" r:id="rId9"/>
    <sheet name="Question 9" sheetId="14" r:id="rId10"/>
  </sheets>
  <externalReferences>
    <externalReference r:id="rId11"/>
  </externalReferences>
  <definedNames>
    <definedName name="_xlnm._FilterDatabase" localSheetId="7" hidden="1">'Question 7'!#REF!</definedName>
    <definedName name="_xlnm._FilterDatabase" localSheetId="8" hidden="1">'Question 8'!$A$1:$J$517</definedName>
    <definedName name="_xlnm._FilterDatabase" localSheetId="9" hidden="1">'Question 9'!#REF!</definedName>
    <definedName name="MonthLookup" localSheetId="1">'Question 1'!$A$1:$B$12</definedName>
    <definedName name="MonthLookup">'[1]  Question 1'!$A$1:$B$12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1" l="1"/>
  <c r="F4" i="1" s="1"/>
  <c r="G4" i="1" s="1"/>
  <c r="H4" i="1" s="1"/>
  <c r="I4" i="1" s="1"/>
  <c r="J4" i="1" s="1"/>
  <c r="K4" i="1" s="1"/>
  <c r="E5" i="1" s="1"/>
  <c r="F5" i="1" s="1"/>
  <c r="G5" i="1" s="1"/>
  <c r="H5" i="1" s="1"/>
  <c r="I5" i="1" s="1"/>
  <c r="J5" i="1" s="1"/>
  <c r="K5" i="1" s="1"/>
  <c r="E6" i="1" s="1"/>
  <c r="F6" i="1" s="1"/>
  <c r="G6" i="1" s="1"/>
  <c r="H6" i="1" s="1"/>
  <c r="I6" i="1" s="1"/>
  <c r="J6" i="1" s="1"/>
  <c r="K6" i="1" s="1"/>
  <c r="E7" i="1" s="1"/>
  <c r="F7" i="1" s="1"/>
  <c r="G7" i="1" s="1"/>
  <c r="H7" i="1" s="1"/>
  <c r="I7" i="1" s="1"/>
  <c r="J7" i="1" s="1"/>
  <c r="K7" i="1" s="1"/>
  <c r="E8" i="1" s="1"/>
  <c r="F8" i="1" s="1"/>
  <c r="G8" i="1" s="1"/>
  <c r="H8" i="1" s="1"/>
  <c r="I8" i="1" s="1"/>
  <c r="J8" i="1" s="1"/>
  <c r="K8" i="1" s="1"/>
  <c r="E9" i="1" s="1"/>
  <c r="F9" i="1" s="1"/>
  <c r="G9" i="1" s="1"/>
  <c r="H9" i="1" s="1"/>
  <c r="I9" i="1" s="1"/>
  <c r="J9" i="1" s="1"/>
  <c r="K9" i="1" s="1"/>
  <c r="M3" i="13" l="1"/>
  <c r="M4" i="13"/>
  <c r="M5" i="13"/>
  <c r="M2" i="13"/>
  <c r="L3" i="13"/>
  <c r="L4" i="13"/>
  <c r="L5" i="13"/>
  <c r="L2" i="13"/>
  <c r="A4" i="13"/>
  <c r="A5" i="13"/>
  <c r="A6" i="13"/>
  <c r="A7" i="13"/>
  <c r="A8" i="13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3" i="1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2" i="3"/>
  <c r="W14" i="11"/>
  <c r="W9" i="11" a="1"/>
  <c r="W9" i="11" s="1"/>
  <c r="W4" i="11" a="1"/>
  <c r="W4" i="11" s="1"/>
  <c r="J2" i="11" a="1"/>
  <c r="J2" i="11" s="1"/>
  <c r="C7" i="12"/>
  <c r="B7" i="12"/>
  <c r="A7" i="12"/>
  <c r="B7" i="2"/>
  <c r="B4" i="7"/>
  <c r="B6" i="2"/>
  <c r="B5" i="2"/>
  <c r="B4" i="2"/>
  <c r="D9" i="10"/>
  <c r="B9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32" i="10"/>
  <c r="C9" i="10"/>
  <c r="E9" i="10"/>
  <c r="B10" i="10" s="1"/>
  <c r="D10" i="10" s="1"/>
  <c r="P2" i="11" a="1"/>
  <c r="P2" i="11" l="1"/>
  <c r="E10" i="10"/>
  <c r="B11" i="10" s="1"/>
  <c r="D11" i="10" l="1"/>
  <c r="E11" i="10" s="1"/>
  <c r="B12" i="10" s="1"/>
  <c r="D12" i="10" l="1"/>
  <c r="E12" i="10" s="1"/>
  <c r="B13" i="10"/>
  <c r="D13" i="10" l="1"/>
  <c r="E13" i="10" s="1"/>
  <c r="B14" i="10" s="1"/>
  <c r="D14" i="10" l="1"/>
  <c r="E14" i="10" s="1"/>
  <c r="B15" i="10" s="1"/>
  <c r="D15" i="10" l="1"/>
  <c r="E15" i="10" s="1"/>
  <c r="B16" i="10" s="1"/>
  <c r="D16" i="10" l="1"/>
  <c r="E16" i="10" s="1"/>
  <c r="B17" i="10"/>
  <c r="D17" i="10" l="1"/>
  <c r="E17" i="10" s="1"/>
  <c r="B18" i="10" s="1"/>
  <c r="D18" i="10" l="1"/>
  <c r="E18" i="10" s="1"/>
  <c r="B19" i="10" s="1"/>
  <c r="D19" i="10" l="1"/>
  <c r="E19" i="10" s="1"/>
  <c r="B20" i="10" s="1"/>
  <c r="D20" i="10" l="1"/>
  <c r="E20" i="10" s="1"/>
  <c r="B21" i="10" s="1"/>
  <c r="D21" i="10" l="1"/>
  <c r="E21" i="10" s="1"/>
  <c r="B22" i="10" s="1"/>
  <c r="D22" i="10" l="1"/>
  <c r="E22" i="10" s="1"/>
  <c r="B23" i="10" s="1"/>
  <c r="D23" i="10" l="1"/>
  <c r="E23" i="10" s="1"/>
  <c r="B24" i="10" s="1"/>
  <c r="D24" i="10" l="1"/>
  <c r="E24" i="10" s="1"/>
  <c r="B25" i="10" s="1"/>
  <c r="D25" i="10" l="1"/>
  <c r="E25" i="10" s="1"/>
  <c r="B26" i="10"/>
  <c r="D26" i="10" l="1"/>
  <c r="E26" i="10" s="1"/>
  <c r="B27" i="10" s="1"/>
  <c r="D27" i="10" l="1"/>
  <c r="E27" i="10" s="1"/>
  <c r="B28" i="10" s="1"/>
  <c r="D28" i="10" l="1"/>
  <c r="E28" i="10" s="1"/>
  <c r="B29" i="10" s="1"/>
  <c r="D29" i="10" l="1"/>
  <c r="E29" i="10" s="1"/>
  <c r="B30" i="10" s="1"/>
  <c r="D30" i="10" l="1"/>
  <c r="E30" i="10" s="1"/>
  <c r="B31" i="10" s="1"/>
  <c r="D31" i="10" l="1"/>
  <c r="E31" i="10" s="1"/>
  <c r="B32" i="10"/>
  <c r="D32" i="10" l="1"/>
  <c r="E32" i="10" s="1"/>
  <c r="G6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<sst xmlns="http://schemas.openxmlformats.org/spreadsheetml/2006/main" count="4471" uniqueCount="846">
  <si>
    <t>Version 1</t>
  </si>
  <si>
    <t>ת.ז.</t>
  </si>
  <si>
    <t>מרצה</t>
  </si>
  <si>
    <t>ימי לימוד</t>
  </si>
  <si>
    <t>ערך 1</t>
  </si>
  <si>
    <t>ערך 2</t>
  </si>
  <si>
    <t>תוצאה</t>
  </si>
  <si>
    <t>סכום הלוואה</t>
  </si>
  <si>
    <t>ריבית חודשית</t>
  </si>
  <si>
    <t>מספר תשלומים</t>
  </si>
  <si>
    <t>החזר חודשי</t>
  </si>
  <si>
    <t>תשלום
מספר</t>
  </si>
  <si>
    <t>יתרת
ההלוואה</t>
  </si>
  <si>
    <t>החזר 
חודשי</t>
  </si>
  <si>
    <t>על חשבון
הריבית</t>
  </si>
  <si>
    <t>על חשבון הקרן.</t>
  </si>
  <si>
    <t>תאריך</t>
  </si>
  <si>
    <t>סניף</t>
  </si>
  <si>
    <t>התוכנה</t>
  </si>
  <si>
    <t>סיווג התוכנה</t>
  </si>
  <si>
    <t>מחיר יחידה</t>
  </si>
  <si>
    <t>כמות</t>
  </si>
  <si>
    <t>שם המוכר/ת</t>
  </si>
  <si>
    <t>הכנסה ברוטו</t>
  </si>
  <si>
    <t>מכבים</t>
  </si>
  <si>
    <t>קורל דרו</t>
  </si>
  <si>
    <t>שרטוט</t>
  </si>
  <si>
    <t>זאב פרידמן</t>
  </si>
  <si>
    <t>תל אביב</t>
  </si>
  <si>
    <t>פנל תמיכת החלטות</t>
  </si>
  <si>
    <t>משרדית</t>
  </si>
  <si>
    <t>ירחמיאל שני</t>
  </si>
  <si>
    <t>איריס</t>
  </si>
  <si>
    <t>אנטיוירוס</t>
  </si>
  <si>
    <t>לירון בית הלחמי</t>
  </si>
  <si>
    <t>אקרובט</t>
  </si>
  <si>
    <t>שמעון בוקשפן</t>
  </si>
  <si>
    <t>משה צמיר</t>
  </si>
  <si>
    <t>ראשון לציון</t>
  </si>
  <si>
    <t>פגפ</t>
  </si>
  <si>
    <t>אבטחה</t>
  </si>
  <si>
    <t>גדי ירום</t>
  </si>
  <si>
    <t>יודורה</t>
  </si>
  <si>
    <t>דוד לוי</t>
  </si>
  <si>
    <t>זיפ-יט</t>
  </si>
  <si>
    <t>דחיסה</t>
  </si>
  <si>
    <t>גילה יעקובי</t>
  </si>
  <si>
    <t>בבילון</t>
  </si>
  <si>
    <t>אקסס</t>
  </si>
  <si>
    <t>חיפה</t>
  </si>
  <si>
    <t>נגן ריל פלייר 1</t>
  </si>
  <si>
    <t>בידור</t>
  </si>
  <si>
    <t>ורדית קורן</t>
  </si>
  <si>
    <t>פיירוול 1</t>
  </si>
  <si>
    <t>ניצן קדמן</t>
  </si>
  <si>
    <t>ירושלים</t>
  </si>
  <si>
    <t>עמרם טיסונה</t>
  </si>
  <si>
    <t>פאוור פוינט</t>
  </si>
  <si>
    <t>מצגות</t>
  </si>
  <si>
    <t>הדס פרושאור</t>
  </si>
  <si>
    <t>שי תירוש</t>
  </si>
  <si>
    <t>ווין-זיפ 8</t>
  </si>
  <si>
    <t>נורטון</t>
  </si>
  <si>
    <t>חנה אברהם</t>
  </si>
  <si>
    <t>שולה כהן</t>
  </si>
  <si>
    <t>אסטאונד</t>
  </si>
  <si>
    <t>אלי דנון</t>
  </si>
  <si>
    <t>אילת</t>
  </si>
  <si>
    <t>פרו-פורט</t>
  </si>
  <si>
    <t>יעקב ורד</t>
  </si>
  <si>
    <t>עומר טנא</t>
  </si>
  <si>
    <t>אקסל</t>
  </si>
  <si>
    <t>אבי כהן</t>
  </si>
  <si>
    <t>סוליטיר</t>
  </si>
  <si>
    <t>יוסי פרס</t>
  </si>
  <si>
    <t>וורד</t>
  </si>
  <si>
    <t>גדי יגיל</t>
  </si>
  <si>
    <t>אבי מסיקה</t>
  </si>
  <si>
    <t>אבי לוי</t>
  </si>
  <si>
    <t>עדי כהנא</t>
  </si>
  <si>
    <t>רונן גואטה</t>
  </si>
  <si>
    <t>קרית שמונה</t>
  </si>
  <si>
    <t>מרינה לוי</t>
  </si>
  <si>
    <t>הילה גרטל</t>
  </si>
  <si>
    <t>משה רענן</t>
  </si>
  <si>
    <t>ברידג'</t>
  </si>
  <si>
    <t>רותם אלנתן</t>
  </si>
  <si>
    <t>ציון לוי</t>
  </si>
  <si>
    <t>סך ההכנסה של על מי ששמו מתחיל באות א</t>
  </si>
  <si>
    <t>הכנסה ממוצעת באילת</t>
  </si>
  <si>
    <t>הכנסה בתל אביב בחודש מרץ</t>
  </si>
  <si>
    <t>קטגוריה</t>
  </si>
  <si>
    <t>מותג</t>
  </si>
  <si>
    <t>מספר הזמנה</t>
  </si>
  <si>
    <t>תאריך הזמנה</t>
  </si>
  <si>
    <t>רמת דחיפות</t>
  </si>
  <si>
    <t>מספר מוצרים ביחידות</t>
  </si>
  <si>
    <t>סה"כ מכירות בש"ח</t>
  </si>
  <si>
    <t>הנחה</t>
  </si>
  <si>
    <t>שיטת שילוח</t>
  </si>
  <si>
    <t>אופנה</t>
  </si>
  <si>
    <t>BERSHKA</t>
  </si>
  <si>
    <t>בינונית</t>
  </si>
  <si>
    <t>דואר אויר</t>
  </si>
  <si>
    <t>Billabong</t>
  </si>
  <si>
    <t>BLUE BIRD</t>
  </si>
  <si>
    <t>לא צוינה</t>
  </si>
  <si>
    <t>BONITA DE MAS</t>
  </si>
  <si>
    <t>קריטית</t>
  </si>
  <si>
    <t>דואר רגיל</t>
  </si>
  <si>
    <t>CELIO</t>
  </si>
  <si>
    <t>גבוהה</t>
  </si>
  <si>
    <t>CHANTELLE</t>
  </si>
  <si>
    <t>Cherokee</t>
  </si>
  <si>
    <t>CHEVIGNON</t>
  </si>
  <si>
    <t>COMME IL FAUT</t>
  </si>
  <si>
    <t>ESCADA</t>
  </si>
  <si>
    <t>FACTORY 54</t>
  </si>
  <si>
    <t>forever 21</t>
  </si>
  <si>
    <t>FOX</t>
  </si>
  <si>
    <t>דואר אקספרס</t>
  </si>
  <si>
    <t>GAP</t>
  </si>
  <si>
    <t>GIVANCHI</t>
  </si>
  <si>
    <t>Gstar</t>
  </si>
  <si>
    <t>H&amp;M</t>
  </si>
  <si>
    <t>נמוכה</t>
  </si>
  <si>
    <t>H&amp;O</t>
  </si>
  <si>
    <t>jump</t>
  </si>
  <si>
    <t>KEDS</t>
  </si>
  <si>
    <t>Kookai</t>
  </si>
  <si>
    <t>LEE</t>
  </si>
  <si>
    <t>LOUIS VUITTON</t>
  </si>
  <si>
    <t>MAUSNER</t>
  </si>
  <si>
    <t>MISS SIXTY</t>
  </si>
  <si>
    <t>ML</t>
  </si>
  <si>
    <t>MOTHERLAND</t>
  </si>
  <si>
    <t>NEW BALANCE</t>
  </si>
  <si>
    <t>NO NAME</t>
  </si>
  <si>
    <t>PULL AND BEAR</t>
  </si>
  <si>
    <t>Quiksilver</t>
  </si>
  <si>
    <t>REPLAY</t>
  </si>
  <si>
    <t>ROBERTO CAVALLI</t>
  </si>
  <si>
    <t>Sacks</t>
  </si>
  <si>
    <t>SLOGGI</t>
  </si>
  <si>
    <t>TAG WOMAN</t>
  </si>
  <si>
    <t>THE NORTH FACE</t>
  </si>
  <si>
    <t>TNT_fashion</t>
  </si>
  <si>
    <t>TOM FORD</t>
  </si>
  <si>
    <t>True religion jeans</t>
  </si>
  <si>
    <t>Under armour</t>
  </si>
  <si>
    <t>united nude</t>
  </si>
  <si>
    <t>WOMENONLY</t>
  </si>
  <si>
    <t>WRANGLER</t>
  </si>
  <si>
    <t>ZARA</t>
  </si>
  <si>
    <t>אלכוהול</t>
  </si>
  <si>
    <t>BECK'S</t>
  </si>
  <si>
    <t>COBRA</t>
  </si>
  <si>
    <t>Grey goose</t>
  </si>
  <si>
    <t>Lauders Whiskey</t>
  </si>
  <si>
    <t>macabi</t>
  </si>
  <si>
    <t>rich</t>
  </si>
  <si>
    <t>בנקים</t>
  </si>
  <si>
    <t>AIG</t>
  </si>
  <si>
    <t>CAL</t>
  </si>
  <si>
    <t>Citi Bank</t>
  </si>
  <si>
    <t>CREDIT SUISSE</t>
  </si>
  <si>
    <t>easy forex</t>
  </si>
  <si>
    <t>HSBC</t>
  </si>
  <si>
    <t>MILLENNIUM</t>
  </si>
  <si>
    <t>MORE בית השקעות</t>
  </si>
  <si>
    <t>U Bank</t>
  </si>
  <si>
    <t>USB Bank</t>
  </si>
  <si>
    <t>YNET ביטוח</t>
  </si>
  <si>
    <t>בְּרִיאוּת</t>
  </si>
  <si>
    <t>ACUVUE</t>
  </si>
  <si>
    <t>FACE IT</t>
  </si>
  <si>
    <t>HANSAPLAST</t>
  </si>
  <si>
    <t>Nexcare</t>
  </si>
  <si>
    <t>R3</t>
  </si>
  <si>
    <t>RESCUE</t>
  </si>
  <si>
    <t>SCHOLL</t>
  </si>
  <si>
    <t>חומרי ניקוי וטיפוח ביתי</t>
  </si>
  <si>
    <t>air mailwick</t>
  </si>
  <si>
    <t>Fair mailY</t>
  </si>
  <si>
    <t>GLADE</t>
  </si>
  <si>
    <t>HEPI</t>
  </si>
  <si>
    <t>K300</t>
  </si>
  <si>
    <t>kalia</t>
  </si>
  <si>
    <t>RAID</t>
  </si>
  <si>
    <t>SOMAT</t>
  </si>
  <si>
    <t>SWIFFER</t>
  </si>
  <si>
    <t>TIDE</t>
  </si>
  <si>
    <t>WOOLITE</t>
  </si>
  <si>
    <t>טיפוח העור</t>
  </si>
  <si>
    <t>ATRIX</t>
  </si>
  <si>
    <t>AXE</t>
  </si>
  <si>
    <t>CASTING</t>
  </si>
  <si>
    <t>Crema</t>
  </si>
  <si>
    <t>CREST</t>
  </si>
  <si>
    <t>Cutex</t>
  </si>
  <si>
    <t>edge</t>
  </si>
  <si>
    <t>Elvive</t>
  </si>
  <si>
    <t>FA</t>
  </si>
  <si>
    <t>femina</t>
  </si>
  <si>
    <t>FINNESSE</t>
  </si>
  <si>
    <t>HERBAL ESSENCES</t>
  </si>
  <si>
    <t>Kleenex</t>
  </si>
  <si>
    <t>KOTEX</t>
  </si>
  <si>
    <t>KY</t>
  </si>
  <si>
    <t>LABELLO</t>
  </si>
  <si>
    <t>o.b.</t>
  </si>
  <si>
    <t>PALETTE</t>
  </si>
  <si>
    <t>SCHICK</t>
  </si>
  <si>
    <t>TENA LADY</t>
  </si>
  <si>
    <t>VEET</t>
  </si>
  <si>
    <t>מזון</t>
  </si>
  <si>
    <t>Black Bar n’Burger</t>
  </si>
  <si>
    <t>CAFE CAFE</t>
  </si>
  <si>
    <t>Domino's Pizza</t>
  </si>
  <si>
    <t>ELITE COFFEE</t>
  </si>
  <si>
    <t>Karnaf</t>
  </si>
  <si>
    <t>מוצרי חלב וגלידה</t>
  </si>
  <si>
    <t>Actimel</t>
  </si>
  <si>
    <t>ALPRO</t>
  </si>
  <si>
    <t>FROOP</t>
  </si>
  <si>
    <t>MULLER</t>
  </si>
  <si>
    <t>SHOTS</t>
  </si>
  <si>
    <t>Skinny Cow</t>
  </si>
  <si>
    <t>מכשירים</t>
  </si>
  <si>
    <t>AEG</t>
  </si>
  <si>
    <t>Akai</t>
  </si>
  <si>
    <t>Apex</t>
  </si>
  <si>
    <t>Apollo</t>
  </si>
  <si>
    <t>Ariston</t>
  </si>
  <si>
    <t>Babyliss</t>
  </si>
  <si>
    <t>Baukenecht</t>
  </si>
  <si>
    <t>BEKO</t>
  </si>
  <si>
    <t>BenQ</t>
  </si>
  <si>
    <t>Big Box</t>
  </si>
  <si>
    <t>BOSCH</t>
  </si>
  <si>
    <t>BOSE</t>
  </si>
  <si>
    <t>Breville</t>
  </si>
  <si>
    <t>BSH</t>
  </si>
  <si>
    <t>Canon</t>
  </si>
  <si>
    <t>Chromex</t>
  </si>
  <si>
    <t>Cuisine Art</t>
  </si>
  <si>
    <t>DAIKIN</t>
  </si>
  <si>
    <t>Elica</t>
  </si>
  <si>
    <t>EPSON</t>
  </si>
  <si>
    <t>Fagor</t>
  </si>
  <si>
    <t>Fisher &amp; Paykel</t>
  </si>
  <si>
    <t>FUJITSU</t>
  </si>
  <si>
    <t>GP</t>
  </si>
  <si>
    <t>Graetz</t>
  </si>
  <si>
    <t>Grandix</t>
  </si>
  <si>
    <t>Grundig</t>
  </si>
  <si>
    <t>HAIER</t>
  </si>
  <si>
    <t>Hemilton</t>
  </si>
  <si>
    <t>Hisense</t>
  </si>
  <si>
    <t>Hitachi</t>
  </si>
  <si>
    <t>Hyundai</t>
  </si>
  <si>
    <t>I pod</t>
  </si>
  <si>
    <t>JVC</t>
  </si>
  <si>
    <t>KITCHEN AID</t>
  </si>
  <si>
    <t>Konka</t>
  </si>
  <si>
    <t>Krups</t>
  </si>
  <si>
    <t>LG</t>
  </si>
  <si>
    <t>Loewe</t>
  </si>
  <si>
    <t>Maytag</t>
  </si>
  <si>
    <t>MDK</t>
  </si>
  <si>
    <t>ME</t>
  </si>
  <si>
    <t>Meister</t>
  </si>
  <si>
    <t>MIELE</t>
  </si>
  <si>
    <t>NEC</t>
  </si>
  <si>
    <t>Neff</t>
  </si>
  <si>
    <t>Pantex</t>
  </si>
  <si>
    <t>Peerless</t>
  </si>
  <si>
    <t>PHILIPS</t>
  </si>
  <si>
    <t>Pilot</t>
  </si>
  <si>
    <t>Pioneer</t>
  </si>
  <si>
    <t>ROSIERES</t>
  </si>
  <si>
    <t>Rowenta</t>
  </si>
  <si>
    <t>Russell Hobbs</t>
  </si>
  <si>
    <t>Sansui</t>
  </si>
  <si>
    <t>SAUTER</t>
  </si>
  <si>
    <t>Smeg</t>
  </si>
  <si>
    <t>Sol</t>
  </si>
  <si>
    <t>TEFAL</t>
  </si>
  <si>
    <t>Telefunken</t>
  </si>
  <si>
    <t>Ufesa</t>
  </si>
  <si>
    <t>WHIRLPOOL</t>
  </si>
  <si>
    <t>Zanussi</t>
  </si>
  <si>
    <t>7 DAYS BAKE ROLLS</t>
  </si>
  <si>
    <t>air mail WAVES</t>
  </si>
  <si>
    <t>ASIATIC</t>
  </si>
  <si>
    <t>BONIER</t>
  </si>
  <si>
    <t>Chewy</t>
  </si>
  <si>
    <t>CHUPA CHUPS</t>
  </si>
  <si>
    <t>Cote D'or</t>
  </si>
  <si>
    <t>CRUNCH</t>
  </si>
  <si>
    <t>DUPLO</t>
  </si>
  <si>
    <t>Elle et Vire</t>
  </si>
  <si>
    <t>ENERGY</t>
  </si>
  <si>
    <t>FITNESS</t>
  </si>
  <si>
    <t>FREE</t>
  </si>
  <si>
    <t>gogo squeeze</t>
  </si>
  <si>
    <t>Healthy Boy</t>
  </si>
  <si>
    <t>Hellmann's</t>
  </si>
  <si>
    <t>HOM-D</t>
  </si>
  <si>
    <t>HOT POP</t>
  </si>
  <si>
    <t>IAMS</t>
  </si>
  <si>
    <t>JellyBelly</t>
  </si>
  <si>
    <t>Juicy Fruit</t>
  </si>
  <si>
    <t>Kit Kat</t>
  </si>
  <si>
    <t>LANNA</t>
  </si>
  <si>
    <t>LEONIDAS</t>
  </si>
  <si>
    <t>M&amp;M</t>
  </si>
  <si>
    <t>maimon's</t>
  </si>
  <si>
    <t>MAMA</t>
  </si>
  <si>
    <t>MegaChef</t>
  </si>
  <si>
    <t>MERCI</t>
  </si>
  <si>
    <t>Milka</t>
  </si>
  <si>
    <t>Mizkan</t>
  </si>
  <si>
    <t>MONDAY</t>
  </si>
  <si>
    <t>mooi</t>
  </si>
  <si>
    <t>Mozart</t>
  </si>
  <si>
    <t>MUST</t>
  </si>
  <si>
    <t>NATURE VALLEY</t>
  </si>
  <si>
    <t>OK</t>
  </si>
  <si>
    <t>PAM</t>
  </si>
  <si>
    <t>Raffaello</t>
  </si>
  <si>
    <t>RICE DREAMS</t>
  </si>
  <si>
    <t>ritter sport</t>
  </si>
  <si>
    <t>Rizi</t>
  </si>
  <si>
    <t>SPECIAL K</t>
  </si>
  <si>
    <t>SQUEEZE</t>
  </si>
  <si>
    <t>Star Lion</t>
  </si>
  <si>
    <t>Sweet N Low</t>
  </si>
  <si>
    <t>TCC</t>
  </si>
  <si>
    <t>tic tac</t>
  </si>
  <si>
    <t>TIM TAM</t>
  </si>
  <si>
    <t>TWIX</t>
  </si>
  <si>
    <t>YASAMA</t>
  </si>
  <si>
    <t>Yogueta</t>
  </si>
  <si>
    <t>מוצרים לבית</t>
  </si>
  <si>
    <t>AEROFLEX</t>
  </si>
  <si>
    <t>CHRONOTIME</t>
  </si>
  <si>
    <t>DOMO</t>
  </si>
  <si>
    <t>ENTER</t>
  </si>
  <si>
    <t>GOLF &amp; CO</t>
  </si>
  <si>
    <t>GREEN</t>
  </si>
  <si>
    <t>IKEA</t>
  </si>
  <si>
    <t>kika</t>
  </si>
  <si>
    <t>Post It</t>
  </si>
  <si>
    <t>SPICES - כלים וטעמים</t>
  </si>
  <si>
    <t>מוצרי תינוקות</t>
  </si>
  <si>
    <t>Allerhand</t>
  </si>
  <si>
    <t>B FREE</t>
  </si>
  <si>
    <t>Baby Bjorn</t>
  </si>
  <si>
    <t>Baby safe</t>
  </si>
  <si>
    <t>Bogabo</t>
  </si>
  <si>
    <t>Concord</t>
  </si>
  <si>
    <t>fisher price</t>
  </si>
  <si>
    <t>imaginarium</t>
  </si>
  <si>
    <t>Lindam</t>
  </si>
  <si>
    <t>Little Tike</t>
  </si>
  <si>
    <t>MAM</t>
  </si>
  <si>
    <t>Maxi cosi</t>
  </si>
  <si>
    <t>NIPP</t>
  </si>
  <si>
    <t>NUBI</t>
  </si>
  <si>
    <t>NUK</t>
  </si>
  <si>
    <t>Philips AVENT</t>
  </si>
  <si>
    <t>PLAYMOBILE</t>
  </si>
  <si>
    <t>Step 2</t>
  </si>
  <si>
    <t>Tommee Tippee</t>
  </si>
  <si>
    <t>משקאות</t>
  </si>
  <si>
    <t>blue</t>
  </si>
  <si>
    <t>Coke Zero</t>
  </si>
  <si>
    <t>Cremesso מכונת קפה</t>
  </si>
  <si>
    <t>cristal</t>
  </si>
  <si>
    <t>NESCAFE</t>
  </si>
  <si>
    <t>NESTEA</t>
  </si>
  <si>
    <t>OCEAN SPRAY</t>
  </si>
  <si>
    <t>RC קולה</t>
  </si>
  <si>
    <t>RCQ</t>
  </si>
  <si>
    <t>Red Bull</t>
  </si>
  <si>
    <t>RED MUG</t>
  </si>
  <si>
    <t>red rain</t>
  </si>
  <si>
    <t>Schweppes</t>
  </si>
  <si>
    <t>SO משקה סויה</t>
  </si>
  <si>
    <t>water &amp; more</t>
  </si>
  <si>
    <t>XI</t>
  </si>
  <si>
    <t>XL</t>
  </si>
  <si>
    <t>DO IT</t>
  </si>
  <si>
    <t>NOVO</t>
  </si>
  <si>
    <t>OPEN GALLERY</t>
  </si>
  <si>
    <t>poggenpohl</t>
  </si>
  <si>
    <t>YOO</t>
  </si>
  <si>
    <t>פנאי</t>
  </si>
  <si>
    <t>CALL הקודם</t>
  </si>
  <si>
    <t>easy jet</t>
  </si>
  <si>
    <t>NBA</t>
  </si>
  <si>
    <t>PLAY65</t>
  </si>
  <si>
    <t>ROSEN &amp; MEENTS</t>
  </si>
  <si>
    <t>TICTAK</t>
  </si>
  <si>
    <t>WINNER</t>
  </si>
  <si>
    <t>סיגריות</t>
  </si>
  <si>
    <t>Broadway</t>
  </si>
  <si>
    <t>CHOICE</t>
  </si>
  <si>
    <t>L&amp;M</t>
  </si>
  <si>
    <t>LD</t>
  </si>
  <si>
    <t>MM</t>
  </si>
  <si>
    <t>NEXT</t>
  </si>
  <si>
    <t>PALL MALL</t>
  </si>
  <si>
    <t>Rockets</t>
  </si>
  <si>
    <t>Rothmans</t>
  </si>
  <si>
    <t>Vogue</t>
  </si>
  <si>
    <t>עיתונים ומדיה אלקטרונית</t>
  </si>
  <si>
    <t>BIGTIME</t>
  </si>
  <si>
    <t>COSMOPOLITAN</t>
  </si>
  <si>
    <t>ECO 99FM</t>
  </si>
  <si>
    <t>FORBES</t>
  </si>
  <si>
    <t>GO</t>
  </si>
  <si>
    <t>HOT</t>
  </si>
  <si>
    <t>ifeel.co.il</t>
  </si>
  <si>
    <t>MAKO</t>
  </si>
  <si>
    <t>MAMA INFO</t>
  </si>
  <si>
    <t>Motorbike.co.il</t>
  </si>
  <si>
    <t>Motorcar.co.il</t>
  </si>
  <si>
    <t>Mountain Bike Action</t>
  </si>
  <si>
    <t>NRG</t>
  </si>
  <si>
    <t>THE MARKER</t>
  </si>
  <si>
    <t>the voice</t>
  </si>
  <si>
    <t>TIME OUT</t>
  </si>
  <si>
    <t>YES</t>
  </si>
  <si>
    <t>YNET</t>
  </si>
  <si>
    <t>קוסמטיקה ובשמים</t>
  </si>
  <si>
    <t>Beyonce</t>
  </si>
  <si>
    <t>JIMMY CHOO</t>
  </si>
  <si>
    <t>Laline</t>
  </si>
  <si>
    <t>MARC JACOBS</t>
  </si>
  <si>
    <t>me</t>
  </si>
  <si>
    <t>MONT BLANC</t>
  </si>
  <si>
    <t>SISLEY</t>
  </si>
  <si>
    <t>קמעונאות</t>
  </si>
  <si>
    <t>ACE</t>
  </si>
  <si>
    <t>AM/PM</t>
  </si>
  <si>
    <t>American Apparel</t>
  </si>
  <si>
    <t>cinemall</t>
  </si>
  <si>
    <t>club365</t>
  </si>
  <si>
    <t>eyes</t>
  </si>
  <si>
    <t>FACTORY OUTLET</t>
  </si>
  <si>
    <t>POWER CARD</t>
  </si>
  <si>
    <t>SO GOOD</t>
  </si>
  <si>
    <t>WINE &amp; MORE</t>
  </si>
  <si>
    <t>YELLOW</t>
  </si>
  <si>
    <t>ZER4U</t>
  </si>
  <si>
    <t>רכב ותחבורה</t>
  </si>
  <si>
    <t>AUTO CENTER</t>
  </si>
  <si>
    <t>AUTOSERV</t>
  </si>
  <si>
    <t>AVIS</t>
  </si>
  <si>
    <t>AWACS</t>
  </si>
  <si>
    <t>Buy&amp;Drive</t>
  </si>
  <si>
    <t>IGO</t>
  </si>
  <si>
    <t>JEEP</t>
  </si>
  <si>
    <t>Konex</t>
  </si>
  <si>
    <t>pango</t>
  </si>
  <si>
    <t>Segaway</t>
  </si>
  <si>
    <t>waze</t>
  </si>
  <si>
    <t>שירותים</t>
  </si>
  <si>
    <t>DHL</t>
  </si>
  <si>
    <t>HIGH Q</t>
  </si>
  <si>
    <t>ORS</t>
  </si>
  <si>
    <t>SKI SCHOOL</t>
  </si>
  <si>
    <t>TNT</t>
  </si>
  <si>
    <t>UPS</t>
  </si>
  <si>
    <t>wall street</t>
  </si>
  <si>
    <t>תכשיטים ואביזרים</t>
  </si>
  <si>
    <t>Accessorize</t>
  </si>
  <si>
    <t>Bulgari</t>
  </si>
  <si>
    <t>Cartier</t>
  </si>
  <si>
    <t>CASIO</t>
  </si>
  <si>
    <t>CHOPARD</t>
  </si>
  <si>
    <t>FUEGO</t>
  </si>
  <si>
    <t>FURLA</t>
  </si>
  <si>
    <t>JANSPORT</t>
  </si>
  <si>
    <t>OAKLEY</t>
  </si>
  <si>
    <t>Ray-Ban</t>
  </si>
  <si>
    <t>תקשורת ואינטרנט</t>
  </si>
  <si>
    <t>ACER</t>
  </si>
  <si>
    <t>ALCATEL</t>
  </si>
  <si>
    <t>all jobs</t>
  </si>
  <si>
    <t>AMD</t>
  </si>
  <si>
    <t>angry birds</t>
  </si>
  <si>
    <t>Apple Mac</t>
  </si>
  <si>
    <t>B144</t>
  </si>
  <si>
    <t>DELL</t>
  </si>
  <si>
    <t>E Bay</t>
  </si>
  <si>
    <t>E MULE</t>
  </si>
  <si>
    <t>Flickr</t>
  </si>
  <si>
    <t>FLIX</t>
  </si>
  <si>
    <t>Gameboy</t>
  </si>
  <si>
    <t>Gateway</t>
  </si>
  <si>
    <t>Gmail</t>
  </si>
  <si>
    <t>GOOGLE</t>
  </si>
  <si>
    <t>HALLO</t>
  </si>
  <si>
    <t>HOTMAIL</t>
  </si>
  <si>
    <t>HP</t>
  </si>
  <si>
    <t>HTC</t>
  </si>
  <si>
    <t>I Phone</t>
  </si>
  <si>
    <t>IBM</t>
  </si>
  <si>
    <t>ICQ</t>
  </si>
  <si>
    <t>instegeram</t>
  </si>
  <si>
    <t>IPAD</t>
  </si>
  <si>
    <t>JDATE</t>
  </si>
  <si>
    <t>Kazza</t>
  </si>
  <si>
    <t>Kingston</t>
  </si>
  <si>
    <t>LENOVO</t>
  </si>
  <si>
    <t>LinkedIN</t>
  </si>
  <si>
    <t>LOVELY</t>
  </si>
  <si>
    <t>LUPA</t>
  </si>
  <si>
    <t>Messanger</t>
  </si>
  <si>
    <t>modu</t>
  </si>
  <si>
    <t>MSN</t>
  </si>
  <si>
    <t>netex</t>
  </si>
  <si>
    <t>NGN</t>
  </si>
  <si>
    <t>Nintendo</t>
  </si>
  <si>
    <t>ONE</t>
  </si>
  <si>
    <t>P1000</t>
  </si>
  <si>
    <t>pinster</t>
  </si>
  <si>
    <t>Samsung</t>
  </si>
  <si>
    <t>SANDISK</t>
  </si>
  <si>
    <t>SK</t>
  </si>
  <si>
    <t>skype</t>
  </si>
  <si>
    <t>START</t>
  </si>
  <si>
    <t>TELIT</t>
  </si>
  <si>
    <t>Twitter</t>
  </si>
  <si>
    <t>viber</t>
  </si>
  <si>
    <t>WII</t>
  </si>
  <si>
    <t>WinWin</t>
  </si>
  <si>
    <t>X box</t>
  </si>
  <si>
    <t>YAD2</t>
  </si>
  <si>
    <t>YAHOO</t>
  </si>
  <si>
    <t>YOU TUBE</t>
  </si>
  <si>
    <t>תרבות</t>
  </si>
  <si>
    <t>DOC AVIV</t>
  </si>
  <si>
    <t>NMC</t>
  </si>
  <si>
    <t>YES PLANET</t>
  </si>
  <si>
    <t>איחור ?</t>
  </si>
  <si>
    <t>זמן מתוכן</t>
  </si>
  <si>
    <t>הגעה בפועל</t>
  </si>
  <si>
    <t>שם השליח</t>
  </si>
  <si>
    <t>עוזרת הוראה</t>
  </si>
  <si>
    <t>shunit406</t>
  </si>
  <si>
    <t>ינואר</t>
  </si>
  <si>
    <t>פברואר</t>
  </si>
  <si>
    <t>מרץ</t>
  </si>
  <si>
    <t>אפריל</t>
  </si>
  <si>
    <t>מאי</t>
  </si>
  <si>
    <t>יוני</t>
  </si>
  <si>
    <t>יולי</t>
  </si>
  <si>
    <t>אוגוסט</t>
  </si>
  <si>
    <t>ספטמבר</t>
  </si>
  <si>
    <t>אוקטובר</t>
  </si>
  <si>
    <t>נובמבר</t>
  </si>
  <si>
    <t>דצמבר</t>
  </si>
  <si>
    <t>יום א</t>
  </si>
  <si>
    <t>יום ב</t>
  </si>
  <si>
    <t>יום ג</t>
  </si>
  <si>
    <t>יום ד</t>
  </si>
  <si>
    <t>יום ה</t>
  </si>
  <si>
    <t>יום ו</t>
  </si>
  <si>
    <t>שבת</t>
  </si>
  <si>
    <t>סכום המשכנתא</t>
  </si>
  <si>
    <t>ריבית שנתית</t>
  </si>
  <si>
    <t>גיל</t>
  </si>
  <si>
    <t>מספר תשלומים כולל</t>
  </si>
  <si>
    <t>תשלום חודשי</t>
  </si>
  <si>
    <t>משכורת חודשית מינימלית דרושה</t>
  </si>
  <si>
    <t>AGENT PROVOCATUER</t>
  </si>
  <si>
    <t>AMOR AMOR</t>
  </si>
  <si>
    <t>Aramis</t>
  </si>
  <si>
    <t>Avon</t>
  </si>
  <si>
    <t>Azzaro</t>
  </si>
  <si>
    <t>Balenciaga</t>
  </si>
  <si>
    <t>Banana Republic</t>
  </si>
  <si>
    <t>bebe</t>
  </si>
  <si>
    <t>Benetton</t>
  </si>
  <si>
    <t>BOGART</t>
  </si>
  <si>
    <t>Boss</t>
  </si>
  <si>
    <t>Boucheron</t>
  </si>
  <si>
    <t>BRITNEY SPEARS</t>
  </si>
  <si>
    <t>Burberry</t>
  </si>
  <si>
    <t>Cacharel</t>
  </si>
  <si>
    <t>Calvin Klein</t>
  </si>
  <si>
    <t>Carita Paris</t>
  </si>
  <si>
    <t>Carolina Herrera</t>
  </si>
  <si>
    <t>Caron</t>
  </si>
  <si>
    <t>Cerruti</t>
  </si>
  <si>
    <t>CHANEL</t>
  </si>
  <si>
    <t>Chevignon</t>
  </si>
  <si>
    <t>Chloe</t>
  </si>
  <si>
    <t>COCO MADEMOISELLE</t>
  </si>
  <si>
    <t>Dali</t>
  </si>
  <si>
    <t>Darphin</t>
  </si>
  <si>
    <t>DAVIDOFF</t>
  </si>
  <si>
    <t>emanuel ungaro</t>
  </si>
  <si>
    <t>ESCADA - S</t>
  </si>
  <si>
    <t>EVE</t>
  </si>
  <si>
    <t>FACONNABLE</t>
  </si>
  <si>
    <t>Feraud</t>
  </si>
  <si>
    <t>FERRAGAMO</t>
  </si>
  <si>
    <t>Ferrari</t>
  </si>
  <si>
    <t>GANT</t>
  </si>
  <si>
    <t>GARNIER</t>
  </si>
  <si>
    <t>Givenchy</t>
  </si>
  <si>
    <t>Gres</t>
  </si>
  <si>
    <t>Guy Laroche</t>
  </si>
  <si>
    <t>J. Del Pozzo</t>
  </si>
  <si>
    <t>JA-DE</t>
  </si>
  <si>
    <t>J'ADORE</t>
  </si>
  <si>
    <t>Jaguar</t>
  </si>
  <si>
    <t>JEANNE PIAUBERT</t>
  </si>
  <si>
    <t>John Varvatos</t>
  </si>
  <si>
    <t>Joop</t>
  </si>
  <si>
    <t>JUICY COTOURE</t>
  </si>
  <si>
    <t>Juvena</t>
  </si>
  <si>
    <t>KENZO</t>
  </si>
  <si>
    <t>LA Mer</t>
  </si>
  <si>
    <t>La Parair mailie</t>
  </si>
  <si>
    <t>Lagerfeld</t>
  </si>
  <si>
    <t>Lanvin</t>
  </si>
  <si>
    <t>LAPIDUS</t>
  </si>
  <si>
    <t>Laura Biagiotti</t>
  </si>
  <si>
    <t>lolita Lempicka</t>
  </si>
  <si>
    <t>MAC</t>
  </si>
  <si>
    <t>MAKE UP FOREVER</t>
  </si>
  <si>
    <t>Manifesto</t>
  </si>
  <si>
    <t>Moschino</t>
  </si>
  <si>
    <t>NAF NAF</t>
  </si>
  <si>
    <t>Nair mail</t>
  </si>
  <si>
    <t>Narciso Rodriguez</t>
  </si>
  <si>
    <t>NEUTROGENA</t>
  </si>
  <si>
    <t>No. 7</t>
  </si>
  <si>
    <t>Paco Rabanne</t>
  </si>
  <si>
    <t>Paloma Picasso</t>
  </si>
  <si>
    <t>Paris Hilton</t>
  </si>
  <si>
    <t>Payot</t>
  </si>
  <si>
    <t>PRADA</t>
  </si>
  <si>
    <t>Pretty You</t>
  </si>
  <si>
    <t>Princesse Marina De Bourbon</t>
  </si>
  <si>
    <t>Pucci </t>
  </si>
  <si>
    <t>Pupa</t>
  </si>
  <si>
    <t>Roberto Verino</t>
  </si>
  <si>
    <t>ROC</t>
  </si>
  <si>
    <t>Rochas</t>
  </si>
  <si>
    <t>S.T. Dupont</t>
  </si>
  <si>
    <t>Salvador dali</t>
  </si>
  <si>
    <t>SeboCalm</t>
  </si>
  <si>
    <t>Soft touch</t>
  </si>
  <si>
    <t>SONIA RYKEL</t>
  </si>
  <si>
    <t>Stella McCartney</t>
  </si>
  <si>
    <t>Stendhal</t>
  </si>
  <si>
    <t>Tabac Original</t>
  </si>
  <si>
    <t>Thierry Mulgler</t>
  </si>
  <si>
    <t>Torrente</t>
  </si>
  <si>
    <t>TRUSSARDI</t>
  </si>
  <si>
    <t>Ultima II</t>
  </si>
  <si>
    <t>Valentino</t>
  </si>
  <si>
    <t>Van Cleef &amp; Arpels</t>
  </si>
  <si>
    <t>YSL</t>
  </si>
  <si>
    <t>Zirh</t>
  </si>
  <si>
    <t>Minraliq</t>
  </si>
  <si>
    <t>Nautica</t>
  </si>
  <si>
    <t>Zippo</t>
  </si>
  <si>
    <t>13/01/2023</t>
  </si>
  <si>
    <t>14/01/2023</t>
  </si>
  <si>
    <t>15/01/2023</t>
  </si>
  <si>
    <t>16/01/2023</t>
  </si>
  <si>
    <t>17/01/2023</t>
  </si>
  <si>
    <t>19/01/2023</t>
  </si>
  <si>
    <t>20/01/2023</t>
  </si>
  <si>
    <t>21/01/2023</t>
  </si>
  <si>
    <t>24/01/2023</t>
  </si>
  <si>
    <t>26/01/2023</t>
  </si>
  <si>
    <t>27/01/2023</t>
  </si>
  <si>
    <t>28/01/2023</t>
  </si>
  <si>
    <t>30/01/2023</t>
  </si>
  <si>
    <t>14/02/2023</t>
  </si>
  <si>
    <t>16/02/2023</t>
  </si>
  <si>
    <t>17/02/2023</t>
  </si>
  <si>
    <t>18/02/2023</t>
  </si>
  <si>
    <t>19/02/2023</t>
  </si>
  <si>
    <t>20/02/2023</t>
  </si>
  <si>
    <t>22/02/2023</t>
  </si>
  <si>
    <t>23/02/2023</t>
  </si>
  <si>
    <t>24/02/2023</t>
  </si>
  <si>
    <t>25/02/2023</t>
  </si>
  <si>
    <t>26/02/2023</t>
  </si>
  <si>
    <t>28/02/2023</t>
  </si>
  <si>
    <t>13/03/2023</t>
  </si>
  <si>
    <t>14/03/2023</t>
  </si>
  <si>
    <t>15/03/2023</t>
  </si>
  <si>
    <t>16/03/2023</t>
  </si>
  <si>
    <t>17/03/2023</t>
  </si>
  <si>
    <t>18/03/2023</t>
  </si>
  <si>
    <t>19/03/2023</t>
  </si>
  <si>
    <t>21/03/2023</t>
  </si>
  <si>
    <t>22/03/2023</t>
  </si>
  <si>
    <t>23/03/2023</t>
  </si>
  <si>
    <t>24/03/2023</t>
  </si>
  <si>
    <t>25/03/2023</t>
  </si>
  <si>
    <t>26/03/2023</t>
  </si>
  <si>
    <t>27/03/2023</t>
  </si>
  <si>
    <t>29/03/2023</t>
  </si>
  <si>
    <t>30/03/2023</t>
  </si>
  <si>
    <t>13/04/2023</t>
  </si>
  <si>
    <t>14/04/2023</t>
  </si>
  <si>
    <t>15/04/2023</t>
  </si>
  <si>
    <t>16/04/2023</t>
  </si>
  <si>
    <t>17/04/2023</t>
  </si>
  <si>
    <t>18/04/2023</t>
  </si>
  <si>
    <t>19/04/2023</t>
  </si>
  <si>
    <t>20/04/2023</t>
  </si>
  <si>
    <t>21/04/2023</t>
  </si>
  <si>
    <t>22/04/2023</t>
  </si>
  <si>
    <t>24/04/2023</t>
  </si>
  <si>
    <t>26/04/2023</t>
  </si>
  <si>
    <t>29/04/2023</t>
  </si>
  <si>
    <t>30/04/2023</t>
  </si>
  <si>
    <t>14/05/2023</t>
  </si>
  <si>
    <t>15/05/2023</t>
  </si>
  <si>
    <t>16/05/2023</t>
  </si>
  <si>
    <t>17/05/2023</t>
  </si>
  <si>
    <t>18/05/2023</t>
  </si>
  <si>
    <t>19/05/2023</t>
  </si>
  <si>
    <t>20/05/2023</t>
  </si>
  <si>
    <t>21/05/2023</t>
  </si>
  <si>
    <t>22/05/2023</t>
  </si>
  <si>
    <t>23/05/2023</t>
  </si>
  <si>
    <t>24/05/2023</t>
  </si>
  <si>
    <t>25/05/2023</t>
  </si>
  <si>
    <t>26/05/2023</t>
  </si>
  <si>
    <t>27/05/2023</t>
  </si>
  <si>
    <t>29/05/2023</t>
  </si>
  <si>
    <t>17/06/2023</t>
  </si>
  <si>
    <t>18/06/2023</t>
  </si>
  <si>
    <t>20/06/2023</t>
  </si>
  <si>
    <t>21/06/2023</t>
  </si>
  <si>
    <t>22/06/2023</t>
  </si>
  <si>
    <t>25/06/2023</t>
  </si>
  <si>
    <t>26/06/2023</t>
  </si>
  <si>
    <t>28/06/2023</t>
  </si>
  <si>
    <t>29/06/2023</t>
  </si>
  <si>
    <t>14/07/2023</t>
  </si>
  <si>
    <t>15/07/2023</t>
  </si>
  <si>
    <t>16/07/2023</t>
  </si>
  <si>
    <t>17/07/2023</t>
  </si>
  <si>
    <t>18/07/2023</t>
  </si>
  <si>
    <t>19/07/2023</t>
  </si>
  <si>
    <t>20/07/2023</t>
  </si>
  <si>
    <t>21/07/2023</t>
  </si>
  <si>
    <t>22/07/2023</t>
  </si>
  <si>
    <t>24/07/2023</t>
  </si>
  <si>
    <t>25/07/2023</t>
  </si>
  <si>
    <t>27/07/2023</t>
  </si>
  <si>
    <t>29/07/2023</t>
  </si>
  <si>
    <t>30/07/2023</t>
  </si>
  <si>
    <t>31/07/2023</t>
  </si>
  <si>
    <t>13/08/2023</t>
  </si>
  <si>
    <t>14/08/2023</t>
  </si>
  <si>
    <t>15/08/2023</t>
  </si>
  <si>
    <t>16/08/2023</t>
  </si>
  <si>
    <t>17/08/2023</t>
  </si>
  <si>
    <t>18/08/2023</t>
  </si>
  <si>
    <t>19/08/2023</t>
  </si>
  <si>
    <t>20/08/2023</t>
  </si>
  <si>
    <t>23/08/2023</t>
  </si>
  <si>
    <t>24/08/2023</t>
  </si>
  <si>
    <t>25/08/2023</t>
  </si>
  <si>
    <t>26/08/2023</t>
  </si>
  <si>
    <t>27/08/2023</t>
  </si>
  <si>
    <t>28/08/2023</t>
  </si>
  <si>
    <t>30/08/2023</t>
  </si>
  <si>
    <t>31/08/2023</t>
  </si>
  <si>
    <t>13/09/2023</t>
  </si>
  <si>
    <t>15/09/2023</t>
  </si>
  <si>
    <t>16/09/2023</t>
  </si>
  <si>
    <t>17/09/2023</t>
  </si>
  <si>
    <t>18/09/2023</t>
  </si>
  <si>
    <t>19/09/2023</t>
  </si>
  <si>
    <t>20/09/2023</t>
  </si>
  <si>
    <t>21/09/2023</t>
  </si>
  <si>
    <t>22/09/2023</t>
  </si>
  <si>
    <t>23/09/2023</t>
  </si>
  <si>
    <t>25/09/2023</t>
  </si>
  <si>
    <t>26/09/2023</t>
  </si>
  <si>
    <t>27/09/2023</t>
  </si>
  <si>
    <t>28/09/2023</t>
  </si>
  <si>
    <t>29/09/2023</t>
  </si>
  <si>
    <t>30/09/2023</t>
  </si>
  <si>
    <t>14/10/2023</t>
  </si>
  <si>
    <t>16/10/2023</t>
  </si>
  <si>
    <t>17/10/2023</t>
  </si>
  <si>
    <t>18/10/2023</t>
  </si>
  <si>
    <t>19/10/2023</t>
  </si>
  <si>
    <t>20/10/2023</t>
  </si>
  <si>
    <t>21/10/2023</t>
  </si>
  <si>
    <t>22/10/2023</t>
  </si>
  <si>
    <t>23/10/2023</t>
  </si>
  <si>
    <t>25/10/2023</t>
  </si>
  <si>
    <t>27/10/2023</t>
  </si>
  <si>
    <t>28/10/2023</t>
  </si>
  <si>
    <t>29/10/2023</t>
  </si>
  <si>
    <t>30/10/2023</t>
  </si>
  <si>
    <t>31/10/2023</t>
  </si>
  <si>
    <t>13/11/2023</t>
  </si>
  <si>
    <t>15/11/2023</t>
  </si>
  <si>
    <t>16/11/2023</t>
  </si>
  <si>
    <t>18/11/2023</t>
  </si>
  <si>
    <t>19/11/2023</t>
  </si>
  <si>
    <t>20/11/2023</t>
  </si>
  <si>
    <t>21/11/2023</t>
  </si>
  <si>
    <t>22/11/2023</t>
  </si>
  <si>
    <t>24/11/2023</t>
  </si>
  <si>
    <t>25/11/2023</t>
  </si>
  <si>
    <t>27/11/2023</t>
  </si>
  <si>
    <t>28/11/2023</t>
  </si>
  <si>
    <t>30/11/2023</t>
  </si>
  <si>
    <t>13/12/2023</t>
  </si>
  <si>
    <t>14/12/2023</t>
  </si>
  <si>
    <t>15/12/2023</t>
  </si>
  <si>
    <t>16/12/2023</t>
  </si>
  <si>
    <t>20/12/2023</t>
  </si>
  <si>
    <t>21/12/2023</t>
  </si>
  <si>
    <t>22/12/2023</t>
  </si>
  <si>
    <t>23/12/2023</t>
  </si>
  <si>
    <t>24/12/2023</t>
  </si>
  <si>
    <t>25/12/2023</t>
  </si>
  <si>
    <t>26/12/2023</t>
  </si>
  <si>
    <t>27/12/2023</t>
  </si>
  <si>
    <t>28/12/2023</t>
  </si>
  <si>
    <t>29/12/2023</t>
  </si>
  <si>
    <t>30/12/2023</t>
  </si>
  <si>
    <t>31/12/2023</t>
  </si>
  <si>
    <t>המאקרו סורק את שלושת העמודות הראשונות A,B,C 
עוצר בתא הריק הראשון בכל עמודה, ומחפש בעזרת נוסחא את הסכום 
של כל התאים הלא ריקים מעל התא הזה. הכנסתי את הנוסחאות בשורה 7 כדי להמחיש את פעולת המאקרו.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</si>
</sst>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₪&quot;#,##0.00;[Red]\-&quot;₪&quot;#,##0.00"/>
    <numFmt numFmtId="165" formatCode="&quot;₪&quot;\ #,##0.00;[Red]&quot;₪&quot;\ \-#,##0.00"/>
    <numFmt numFmtId="166" formatCode="_ &quot;₪&quot;\ * #,##0.00_ ;_ &quot;₪&quot;\ * \-#,##0.00_ ;_ &quot;₪&quot;\ * &quot;-&quot;??_ ;_ @_ "/>
    <numFmt numFmtId="167" formatCode="mm/dd/yy;@"/>
    <numFmt numFmtId="168" formatCode="[&lt;=9999999]###\-####;\(###\)\ ###\-####"/>
    <numFmt numFmtId="169" formatCode="_ &quot;₪&quot;\ * #,##0_ ;_ &quot;₪&quot;\ * \-#,##0_ ;_ &quot;₪&quot;\ * &quot;-&quot;??_ ;_ @_ "/>
    <numFmt numFmtId="170" formatCode="d"/>
  </numFmts>
  <fonts count="22">
    <font>
      <sz val="11"/>
      <color theme="1"/>
      <name val="Calibri"/>
      <family val="2"/>
      <charset val="177"/>
      <scheme val="minor"/>
    </font>
    <font>
      <sz val="11"/>
      <color theme="1"/>
      <name val="Calibri"/>
      <family val="2"/>
      <charset val="177"/>
      <scheme val="minor"/>
    </font>
    <font>
      <b/>
      <sz val="22"/>
      <color theme="0"/>
      <name val="Calibri Light"/>
      <family val="2"/>
      <scheme val="major"/>
    </font>
    <font>
      <sz val="10"/>
      <color theme="1"/>
      <name val="Calibri"/>
      <family val="2"/>
      <scheme val="minor"/>
    </font>
    <font>
      <b/>
      <sz val="8"/>
      <color theme="1" tint="0.14996795556505021"/>
      <name val="Calibri"/>
      <family val="1"/>
      <scheme val="minor"/>
    </font>
    <font>
      <sz val="8"/>
      <name val="Calibri"/>
      <family val="1"/>
      <scheme val="minor"/>
    </font>
    <font>
      <sz val="8"/>
      <name val="Calibri"/>
      <family val="2"/>
      <scheme val="minor"/>
    </font>
    <font>
      <sz val="10"/>
      <name val="Arial (Hebrew)"/>
      <charset val="177"/>
    </font>
    <font>
      <b/>
      <sz val="12"/>
      <color rgb="FFFFFF00"/>
      <name val="David"/>
      <family val="2"/>
      <charset val="177"/>
    </font>
    <font>
      <sz val="12"/>
      <name val="David"/>
      <family val="2"/>
      <charset val="177"/>
    </font>
    <font>
      <b/>
      <sz val="11"/>
      <name val="Arial"/>
      <family val="2"/>
    </font>
    <font>
      <sz val="8"/>
      <name val="Calibri"/>
      <family val="2"/>
      <charset val="177"/>
      <scheme val="minor"/>
    </font>
    <font>
      <sz val="12"/>
      <color theme="1"/>
      <name val="Calibri"/>
      <family val="2"/>
      <charset val="177"/>
      <scheme val="minor"/>
    </font>
    <font>
      <sz val="11"/>
      <color theme="0"/>
      <name val="Calibri"/>
      <family val="2"/>
      <charset val="177"/>
      <scheme val="minor"/>
    </font>
    <font>
      <sz val="12"/>
      <color theme="0"/>
      <name val="Calibri"/>
      <family val="2"/>
      <charset val="177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0"/>
      </patternFill>
    </fill>
    <fill>
      <patternFill patternType="solid">
        <fgColor theme="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theme="0"/>
      </right>
      <top style="thin">
        <color rgb="FFFF000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rgb="FFFF0000"/>
      </top>
      <bottom style="thin">
        <color theme="0"/>
      </bottom>
      <diagonal/>
    </border>
    <border>
      <left style="thin">
        <color theme="0"/>
      </left>
      <right style="thin">
        <color rgb="FFFF0000"/>
      </right>
      <top style="thin">
        <color rgb="FFFF0000"/>
      </top>
      <bottom style="thin">
        <color theme="0"/>
      </bottom>
      <diagonal/>
    </border>
    <border>
      <left style="thin">
        <color rgb="FFFF000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rgb="FFFF0000"/>
      </right>
      <top style="thin">
        <color theme="0"/>
      </top>
      <bottom style="thin">
        <color theme="0"/>
      </bottom>
      <diagonal/>
    </border>
    <border>
      <left style="thin">
        <color rgb="FFFF0000"/>
      </left>
      <right style="thin">
        <color theme="0"/>
      </right>
      <top style="thin">
        <color theme="0"/>
      </top>
      <bottom style="thin">
        <color rgb="FFFF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0000"/>
      </bottom>
      <diagonal/>
    </border>
    <border>
      <left style="thin">
        <color theme="0"/>
      </left>
      <right style="thin">
        <color rgb="FFFF0000"/>
      </right>
      <top style="thin">
        <color theme="0"/>
      </top>
      <bottom style="thin">
        <color rgb="FFFF0000"/>
      </bottom>
      <diagonal/>
    </border>
  </borders>
  <cellStyleXfs count="13">
    <xf numFmtId="0" fontId="0" fillId="0" borderId="0"/>
    <xf numFmtId="166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4" fillId="2" borderId="1">
      <alignment vertical="center"/>
    </xf>
    <xf numFmtId="0" fontId="5" fillId="0" borderId="1">
      <alignment horizontal="left" vertical="center" wrapText="1"/>
      <protection locked="0"/>
    </xf>
    <xf numFmtId="167" fontId="5" fillId="0" borderId="1">
      <alignment horizontal="left" vertical="center" wrapText="1"/>
      <protection locked="0"/>
    </xf>
    <xf numFmtId="168" fontId="5" fillId="0" borderId="1">
      <alignment horizontal="left" vertical="center" wrapText="1"/>
      <protection locked="0"/>
    </xf>
    <xf numFmtId="0" fontId="6" fillId="3" borderId="1">
      <alignment horizontal="center" vertical="center"/>
      <protection locked="0"/>
    </xf>
    <xf numFmtId="0" fontId="7" fillId="0" borderId="0"/>
    <xf numFmtId="9" fontId="1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</cellStyleXfs>
  <cellXfs count="50">
    <xf numFmtId="0" fontId="0" fillId="0" borderId="0" xfId="0"/>
    <xf numFmtId="0" fontId="8" fillId="4" borderId="2" xfId="9" applyFont="1" applyFill="1" applyBorder="1"/>
    <xf numFmtId="0" fontId="10" fillId="5" borderId="2" xfId="0" applyFont="1" applyFill="1" applyBorder="1"/>
    <xf numFmtId="0" fontId="10" fillId="5" borderId="2" xfId="0" applyFont="1" applyFill="1" applyBorder="1" applyAlignment="1">
      <alignment horizontal="right"/>
    </xf>
    <xf numFmtId="169" fontId="10" fillId="5" borderId="2" xfId="1" applyNumberFormat="1" applyFont="1" applyFill="1" applyBorder="1"/>
    <xf numFmtId="0" fontId="9" fillId="0" borderId="2" xfId="9" applyFont="1" applyBorder="1" applyAlignment="1">
      <alignment horizontal="center"/>
    </xf>
    <xf numFmtId="0" fontId="0" fillId="0" borderId="0" xfId="0" applyAlignment="1">
      <alignment horizontal="center"/>
    </xf>
    <xf numFmtId="0" fontId="0" fillId="6" borderId="0" xfId="0" applyFill="1"/>
    <xf numFmtId="0" fontId="0" fillId="7" borderId="2" xfId="0" applyFill="1" applyBorder="1"/>
    <xf numFmtId="0" fontId="13" fillId="0" borderId="0" xfId="0" applyFont="1"/>
    <xf numFmtId="0" fontId="12" fillId="0" borderId="0" xfId="0" applyFont="1"/>
    <xf numFmtId="0" fontId="14" fillId="0" borderId="0" xfId="0" applyFont="1"/>
    <xf numFmtId="0" fontId="12" fillId="0" borderId="3" xfId="0" applyFont="1" applyBorder="1"/>
    <xf numFmtId="10" fontId="12" fillId="0" borderId="3" xfId="0" applyNumberFormat="1" applyFont="1" applyBorder="1"/>
    <xf numFmtId="3" fontId="12" fillId="0" borderId="0" xfId="0" applyNumberFormat="1" applyFont="1"/>
    <xf numFmtId="165" fontId="12" fillId="0" borderId="0" xfId="0" applyNumberFormat="1" applyFont="1"/>
    <xf numFmtId="0" fontId="15" fillId="0" borderId="2" xfId="0" applyFont="1" applyBorder="1" applyAlignment="1">
      <alignment wrapText="1"/>
    </xf>
    <xf numFmtId="14" fontId="10" fillId="5" borderId="2" xfId="0" applyNumberFormat="1" applyFont="1" applyFill="1" applyBorder="1"/>
    <xf numFmtId="14" fontId="16" fillId="0" borderId="0" xfId="0" applyNumberFormat="1" applyFont="1"/>
    <xf numFmtId="0" fontId="16" fillId="0" borderId="0" xfId="0" applyFont="1"/>
    <xf numFmtId="169" fontId="17" fillId="0" borderId="0" xfId="1" applyNumberFormat="1" applyFont="1"/>
    <xf numFmtId="0" fontId="17" fillId="0" borderId="0" xfId="0" applyFont="1"/>
    <xf numFmtId="0" fontId="0" fillId="0" borderId="2" xfId="0" applyBorder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9" fontId="0" fillId="0" borderId="0" xfId="10" applyFont="1"/>
    <xf numFmtId="20" fontId="0" fillId="0" borderId="0" xfId="0" applyNumberFormat="1"/>
    <xf numFmtId="0" fontId="19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164" fontId="0" fillId="0" borderId="0" xfId="0" applyNumberFormat="1"/>
    <xf numFmtId="0" fontId="20" fillId="9" borderId="10" xfId="0" applyFont="1" applyFill="1" applyBorder="1"/>
    <xf numFmtId="0" fontId="21" fillId="9" borderId="10" xfId="0" applyFont="1" applyFill="1" applyBorder="1" applyProtection="1">
      <protection locked="0"/>
    </xf>
    <xf numFmtId="0" fontId="20" fillId="9" borderId="11" xfId="0" applyFont="1" applyFill="1" applyBorder="1"/>
    <xf numFmtId="170" fontId="0" fillId="8" borderId="12" xfId="0" applyNumberFormat="1" applyFill="1" applyBorder="1" applyAlignment="1">
      <alignment horizontal="center" vertical="center"/>
    </xf>
    <xf numFmtId="170" fontId="0" fillId="8" borderId="13" xfId="0" applyNumberFormat="1" applyFill="1" applyBorder="1" applyAlignment="1">
      <alignment horizontal="center" vertical="center"/>
    </xf>
    <xf numFmtId="170" fontId="0" fillId="8" borderId="14" xfId="0" applyNumberFormat="1" applyFill="1" applyBorder="1" applyAlignment="1">
      <alignment horizontal="center" vertical="center"/>
    </xf>
    <xf numFmtId="170" fontId="0" fillId="8" borderId="15" xfId="0" applyNumberFormat="1" applyFill="1" applyBorder="1" applyAlignment="1">
      <alignment horizontal="center" vertical="center"/>
    </xf>
    <xf numFmtId="170" fontId="0" fillId="8" borderId="16" xfId="0" applyNumberFormat="1" applyFill="1" applyBorder="1" applyAlignment="1">
      <alignment horizontal="center" vertical="center"/>
    </xf>
    <xf numFmtId="170" fontId="0" fillId="8" borderId="17" xfId="0" applyNumberFormat="1" applyFill="1" applyBorder="1" applyAlignment="1">
      <alignment horizontal="center" vertical="center"/>
    </xf>
    <xf numFmtId="170" fontId="0" fillId="8" borderId="18" xfId="0" applyNumberFormat="1" applyFill="1" applyBorder="1" applyAlignment="1">
      <alignment horizontal="center" vertical="center"/>
    </xf>
    <xf numFmtId="170" fontId="0" fillId="8" borderId="19" xfId="0" applyNumberFormat="1" applyFill="1" applyBorder="1" applyAlignment="1">
      <alignment horizontal="center" vertical="center"/>
    </xf>
    <xf numFmtId="170" fontId="0" fillId="8" borderId="20" xfId="0" applyNumberFormat="1" applyFill="1" applyBorder="1" applyAlignment="1">
      <alignment horizontal="center" vertical="center"/>
    </xf>
    <xf numFmtId="0" fontId="0" fillId="0" borderId="4" xfId="0" applyBorder="1" applyAlignment="1">
      <alignment horizontal="right" vertical="center" wrapText="1"/>
    </xf>
    <xf numFmtId="0" fontId="0" fillId="0" borderId="5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</cellXfs>
  <cellStyles count="13">
    <cellStyle name="Birthdate" xfId="6" xr:uid="{00000000-0005-0000-0000-000000000000}"/>
    <cellStyle name="Currency" xfId="1" builtinId="4"/>
    <cellStyle name="Normal" xfId="0" builtinId="0"/>
    <cellStyle name="Normal 2" xfId="3" xr:uid="{00000000-0005-0000-0000-000004000000}"/>
    <cellStyle name="Normal 2 2" xfId="9" xr:uid="{00000000-0005-0000-0000-000005000000}"/>
    <cellStyle name="Normal 2 3" xfId="12" xr:uid="{83EE12BC-7EAA-4F7E-A84B-2B4C27B18C5B}"/>
    <cellStyle name="Percent" xfId="10" builtinId="5"/>
    <cellStyle name="Percent 2" xfId="11" xr:uid="{348BF595-2E27-406A-9A29-638E18FC967F}"/>
    <cellStyle name="Phone Number" xfId="7" xr:uid="{00000000-0005-0000-0000-000006000000}"/>
    <cellStyle name="Student Information" xfId="4" xr:uid="{00000000-0005-0000-0000-000007000000}"/>
    <cellStyle name="Student Information - user entered" xfId="5" xr:uid="{00000000-0005-0000-0000-000008000000}"/>
    <cellStyle name="Weekday" xfId="8" xr:uid="{00000000-0005-0000-0000-000009000000}"/>
    <cellStyle name="כותרת 5" xfId="2" xr:uid="{00000000-0005-0000-0000-00000A000000}"/>
  </cellStyles>
  <dxfs count="3">
    <dxf>
      <font>
        <color theme="0"/>
      </font>
      <fill>
        <patternFill>
          <bgColor theme="4"/>
        </patternFill>
      </fill>
    </dxf>
    <dxf>
      <font>
        <color rgb="FFD6DCE4"/>
      </font>
      <fill>
        <patternFill>
          <fgColor rgb="FFD6DCE4"/>
        </patternFill>
      </fill>
    </dxf>
    <dxf>
      <font>
        <color theme="0"/>
      </font>
      <fill>
        <patternFill>
          <bgColor theme="1" tint="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466725</xdr:colOff>
      <xdr:row>8</xdr:row>
      <xdr:rowOff>114301</xdr:rowOff>
    </xdr:from>
    <xdr:to>
      <xdr:col>25</xdr:col>
      <xdr:colOff>526141</xdr:colOff>
      <xdr:row>27</xdr:row>
      <xdr:rowOff>144781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467CAF5-95F2-A9B1-1A75-7ECA2DFB88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687175" y="1638301"/>
          <a:ext cx="4193266" cy="364998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racco\Downloads\&#1502;&#1496;&#1500;&#1514;%20&#1505;&#1497;&#1499;&#1493;&#1501;%2006.2024.xlsb" TargetMode="External"/><Relationship Id="rId1" Type="http://schemas.openxmlformats.org/officeDocument/2006/relationships/externalLinkPath" Target="file:///C:\Users\racco\Downloads\&#1502;&#1496;&#1500;&#1514;%20&#1505;&#1497;&#1499;&#1493;&#1501;%2006.2024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פרטים  אישיים"/>
      <sheetName val="  Question 1"/>
      <sheetName val="test"/>
      <sheetName val="Question 2  "/>
      <sheetName val="Question  3"/>
      <sheetName val="Question  4  "/>
      <sheetName val="  Question 5"/>
      <sheetName val="Question 6"/>
      <sheetName val="Question 7"/>
      <sheetName val="Question 8"/>
      <sheetName val="Question 9"/>
    </sheetNames>
    <sheetDataSet>
      <sheetData sheetId="0"/>
      <sheetData sheetId="1">
        <row r="1">
          <cell r="A1" t="str">
            <v>ינואר</v>
          </cell>
          <cell r="B1">
            <v>1</v>
          </cell>
        </row>
        <row r="2">
          <cell r="A2" t="str">
            <v>פברואר</v>
          </cell>
          <cell r="B2">
            <v>2</v>
          </cell>
        </row>
        <row r="3">
          <cell r="A3" t="str">
            <v>מרץ</v>
          </cell>
          <cell r="B3">
            <v>3</v>
          </cell>
        </row>
        <row r="4">
          <cell r="A4" t="str">
            <v>אפריל</v>
          </cell>
          <cell r="B4">
            <v>4</v>
          </cell>
        </row>
        <row r="5">
          <cell r="A5" t="str">
            <v>מאי</v>
          </cell>
          <cell r="B5">
            <v>5</v>
          </cell>
        </row>
        <row r="6">
          <cell r="A6" t="str">
            <v>יוני</v>
          </cell>
          <cell r="B6">
            <v>6</v>
          </cell>
        </row>
        <row r="7">
          <cell r="A7" t="str">
            <v>יולי</v>
          </cell>
          <cell r="B7">
            <v>7</v>
          </cell>
        </row>
        <row r="8">
          <cell r="A8" t="str">
            <v>אוגוסט</v>
          </cell>
          <cell r="B8">
            <v>8</v>
          </cell>
        </row>
        <row r="9">
          <cell r="A9" t="str">
            <v>ספטמבר</v>
          </cell>
          <cell r="B9">
            <v>9</v>
          </cell>
        </row>
        <row r="10">
          <cell r="A10" t="str">
            <v>אוקטובר</v>
          </cell>
          <cell r="B10">
            <v>10</v>
          </cell>
        </row>
        <row r="11">
          <cell r="A11" t="str">
            <v>נובמבר</v>
          </cell>
          <cell r="B11">
            <v>11</v>
          </cell>
        </row>
        <row r="12">
          <cell r="A12" t="str">
            <v>דצמבר</v>
          </cell>
          <cell r="B12">
            <v>12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גיליון1"/>
  <dimension ref="A1:Z4"/>
  <sheetViews>
    <sheetView workbookViewId="0">
      <selection activeCell="E10" sqref="E10"/>
    </sheetView>
  </sheetViews>
  <sheetFormatPr defaultColWidth="8.85546875" defaultRowHeight="15"/>
  <cols>
    <col min="1" max="1" width="18.7109375" bestFit="1" customWidth="1"/>
    <col min="2" max="2" width="16.28515625" style="6" customWidth="1"/>
  </cols>
  <sheetData>
    <row r="1" spans="1:26" ht="18" customHeight="1">
      <c r="A1" s="1" t="s">
        <v>1</v>
      </c>
      <c r="B1" s="5"/>
      <c r="Z1" s="9" t="s">
        <v>0</v>
      </c>
    </row>
    <row r="2" spans="1:26" ht="18" customHeight="1">
      <c r="A2" s="1" t="s">
        <v>2</v>
      </c>
      <c r="B2" s="5"/>
    </row>
    <row r="3" spans="1:26" ht="18" customHeight="1">
      <c r="A3" s="1" t="s">
        <v>3</v>
      </c>
      <c r="B3" s="5"/>
    </row>
    <row r="4" spans="1:26" ht="18" customHeight="1">
      <c r="A4" s="1" t="s">
        <v>552</v>
      </c>
      <c r="B4" s="5"/>
    </row>
  </sheetData>
  <phoneticPr fontId="11" type="noConversion"/>
  <dataValidations count="1">
    <dataValidation type="list" allowBlank="1" showInputMessage="1" showErrorMessage="1" sqref="B2" xr:uid="{324FD25C-2584-42D5-8E98-C0C41F54C41A}">
      <formula1>"ישראל דק,ליאת אראל"</formula1>
    </dataValidation>
  </dataValidation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גיליון2"/>
  <dimension ref="A1:K45"/>
  <sheetViews>
    <sheetView tabSelected="1" workbookViewId="0">
      <selection activeCell="M7" sqref="M7"/>
    </sheetView>
  </sheetViews>
  <sheetFormatPr defaultColWidth="8.85546875" defaultRowHeight="15"/>
  <sheetData>
    <row r="1" spans="1:11">
      <c r="A1" t="s">
        <v>554</v>
      </c>
      <c r="B1">
        <v>1</v>
      </c>
      <c r="C1">
        <v>1996</v>
      </c>
    </row>
    <row r="2" spans="1:11" ht="18.75">
      <c r="A2" t="s">
        <v>555</v>
      </c>
      <c r="B2">
        <v>2</v>
      </c>
      <c r="C2">
        <v>1997</v>
      </c>
      <c r="E2" s="30"/>
      <c r="F2" s="31">
        <v>2021</v>
      </c>
      <c r="G2" s="30"/>
      <c r="H2" s="30"/>
      <c r="I2" s="30"/>
      <c r="J2" s="31" t="s">
        <v>558</v>
      </c>
      <c r="K2" s="30"/>
    </row>
    <row r="3" spans="1:11" ht="18.75">
      <c r="A3" t="s">
        <v>556</v>
      </c>
      <c r="B3">
        <v>3</v>
      </c>
      <c r="C3">
        <v>1998</v>
      </c>
      <c r="E3" s="32" t="s">
        <v>566</v>
      </c>
      <c r="F3" s="32" t="s">
        <v>567</v>
      </c>
      <c r="G3" s="32" t="s">
        <v>568</v>
      </c>
      <c r="H3" s="32" t="s">
        <v>569</v>
      </c>
      <c r="I3" s="32" t="s">
        <v>570</v>
      </c>
      <c r="J3" s="32" t="s">
        <v>571</v>
      </c>
      <c r="K3" s="32" t="s">
        <v>572</v>
      </c>
    </row>
    <row r="4" spans="1:11">
      <c r="A4" t="s">
        <v>557</v>
      </c>
      <c r="B4">
        <v>4</v>
      </c>
      <c r="C4">
        <v>1999</v>
      </c>
      <c r="E4" s="33">
        <f>DATE(F2,VLOOKUP(J2, MonthLookup, 2, FALSE),1)-WEEKDAY(DATE(F2,VLOOKUP(J2, MonthLookup, 2, FALSE),1),1)+1</f>
        <v>44311</v>
      </c>
      <c r="F4" s="34">
        <f>E4+1</f>
        <v>44312</v>
      </c>
      <c r="G4" s="34">
        <f t="shared" ref="G4:K5" si="0">F4+1</f>
        <v>44313</v>
      </c>
      <c r="H4" s="34">
        <f t="shared" si="0"/>
        <v>44314</v>
      </c>
      <c r="I4" s="34">
        <f t="shared" si="0"/>
        <v>44315</v>
      </c>
      <c r="J4" s="34">
        <f t="shared" si="0"/>
        <v>44316</v>
      </c>
      <c r="K4" s="35">
        <f t="shared" si="0"/>
        <v>44317</v>
      </c>
    </row>
    <row r="5" spans="1:11">
      <c r="A5" t="s">
        <v>558</v>
      </c>
      <c r="B5">
        <v>5</v>
      </c>
      <c r="C5">
        <v>2000</v>
      </c>
      <c r="E5" s="36">
        <f>K4+1</f>
        <v>44318</v>
      </c>
      <c r="F5" s="37">
        <f>E5+1</f>
        <v>44319</v>
      </c>
      <c r="G5" s="37">
        <f>F5+1</f>
        <v>44320</v>
      </c>
      <c r="H5" s="37">
        <f t="shared" si="0"/>
        <v>44321</v>
      </c>
      <c r="I5" s="37">
        <f t="shared" si="0"/>
        <v>44322</v>
      </c>
      <c r="J5" s="37">
        <f t="shared" si="0"/>
        <v>44323</v>
      </c>
      <c r="K5" s="38">
        <f t="shared" si="0"/>
        <v>44324</v>
      </c>
    </row>
    <row r="6" spans="1:11">
      <c r="A6" t="s">
        <v>559</v>
      </c>
      <c r="B6">
        <v>6</v>
      </c>
      <c r="C6">
        <v>2001</v>
      </c>
      <c r="E6" s="36">
        <f t="shared" ref="E6:E9" si="1">K5+1</f>
        <v>44325</v>
      </c>
      <c r="F6" s="37">
        <f t="shared" ref="F6:K9" si="2">E6+1</f>
        <v>44326</v>
      </c>
      <c r="G6" s="37">
        <f t="shared" si="2"/>
        <v>44327</v>
      </c>
      <c r="H6" s="37">
        <f t="shared" si="2"/>
        <v>44328</v>
      </c>
      <c r="I6" s="37">
        <f t="shared" si="2"/>
        <v>44329</v>
      </c>
      <c r="J6" s="37">
        <f t="shared" si="2"/>
        <v>44330</v>
      </c>
      <c r="K6" s="38">
        <f t="shared" si="2"/>
        <v>44331</v>
      </c>
    </row>
    <row r="7" spans="1:11">
      <c r="A7" t="s">
        <v>560</v>
      </c>
      <c r="B7">
        <v>7</v>
      </c>
      <c r="C7">
        <v>2002</v>
      </c>
      <c r="E7" s="36">
        <f t="shared" si="1"/>
        <v>44332</v>
      </c>
      <c r="F7" s="37">
        <f t="shared" si="2"/>
        <v>44333</v>
      </c>
      <c r="G7" s="37">
        <f t="shared" si="2"/>
        <v>44334</v>
      </c>
      <c r="H7" s="37">
        <f t="shared" si="2"/>
        <v>44335</v>
      </c>
      <c r="I7" s="37">
        <f t="shared" si="2"/>
        <v>44336</v>
      </c>
      <c r="J7" s="37">
        <f>I7+1</f>
        <v>44337</v>
      </c>
      <c r="K7" s="38">
        <f t="shared" si="2"/>
        <v>44338</v>
      </c>
    </row>
    <row r="8" spans="1:11">
      <c r="A8" t="s">
        <v>561</v>
      </c>
      <c r="B8">
        <v>8</v>
      </c>
      <c r="C8">
        <v>2003</v>
      </c>
      <c r="E8" s="36">
        <f t="shared" si="1"/>
        <v>44339</v>
      </c>
      <c r="F8" s="37">
        <f t="shared" si="2"/>
        <v>44340</v>
      </c>
      <c r="G8" s="37">
        <f t="shared" si="2"/>
        <v>44341</v>
      </c>
      <c r="H8" s="37">
        <f t="shared" si="2"/>
        <v>44342</v>
      </c>
      <c r="I8" s="37">
        <f t="shared" si="2"/>
        <v>44343</v>
      </c>
      <c r="J8" s="37">
        <f t="shared" si="2"/>
        <v>44344</v>
      </c>
      <c r="K8" s="38">
        <f t="shared" si="2"/>
        <v>44345</v>
      </c>
    </row>
    <row r="9" spans="1:11">
      <c r="A9" t="s">
        <v>562</v>
      </c>
      <c r="B9">
        <v>9</v>
      </c>
      <c r="C9">
        <v>2004</v>
      </c>
      <c r="E9" s="39">
        <f t="shared" si="1"/>
        <v>44346</v>
      </c>
      <c r="F9" s="40">
        <f t="shared" si="2"/>
        <v>44347</v>
      </c>
      <c r="G9" s="40">
        <f>F9+1</f>
        <v>44348</v>
      </c>
      <c r="H9" s="40">
        <f t="shared" si="2"/>
        <v>44349</v>
      </c>
      <c r="I9" s="40">
        <f t="shared" si="2"/>
        <v>44350</v>
      </c>
      <c r="J9" s="40">
        <f t="shared" si="2"/>
        <v>44351</v>
      </c>
      <c r="K9" s="41">
        <f t="shared" si="2"/>
        <v>44352</v>
      </c>
    </row>
    <row r="10" spans="1:11">
      <c r="A10" t="s">
        <v>563</v>
      </c>
      <c r="B10">
        <v>10</v>
      </c>
      <c r="C10">
        <v>2005</v>
      </c>
    </row>
    <row r="11" spans="1:11">
      <c r="A11" t="s">
        <v>564</v>
      </c>
      <c r="B11">
        <v>11</v>
      </c>
      <c r="C11">
        <v>2006</v>
      </c>
    </row>
    <row r="12" spans="1:11">
      <c r="A12" t="s">
        <v>565</v>
      </c>
      <c r="B12">
        <v>12</v>
      </c>
      <c r="C12">
        <v>2007</v>
      </c>
    </row>
    <row r="13" spans="1:11">
      <c r="C13">
        <v>2008</v>
      </c>
    </row>
    <row r="14" spans="1:11">
      <c r="C14">
        <v>2009</v>
      </c>
    </row>
    <row r="15" spans="1:11">
      <c r="C15">
        <v>2010</v>
      </c>
    </row>
    <row r="16" spans="1:11">
      <c r="C16">
        <v>2011</v>
      </c>
    </row>
    <row r="17" spans="3:3">
      <c r="C17">
        <v>2012</v>
      </c>
    </row>
    <row r="18" spans="3:3">
      <c r="C18">
        <v>2013</v>
      </c>
    </row>
    <row r="19" spans="3:3">
      <c r="C19">
        <v>2014</v>
      </c>
    </row>
    <row r="20" spans="3:3">
      <c r="C20">
        <v>2015</v>
      </c>
    </row>
    <row r="21" spans="3:3">
      <c r="C21">
        <v>2016</v>
      </c>
    </row>
    <row r="22" spans="3:3">
      <c r="C22">
        <v>2017</v>
      </c>
    </row>
    <row r="23" spans="3:3">
      <c r="C23">
        <v>2018</v>
      </c>
    </row>
    <row r="24" spans="3:3">
      <c r="C24">
        <v>2019</v>
      </c>
    </row>
    <row r="25" spans="3:3">
      <c r="C25">
        <v>2020</v>
      </c>
    </row>
    <row r="26" spans="3:3">
      <c r="C26">
        <v>2021</v>
      </c>
    </row>
    <row r="27" spans="3:3">
      <c r="C27">
        <v>2022</v>
      </c>
    </row>
    <row r="28" spans="3:3">
      <c r="C28">
        <v>2023</v>
      </c>
    </row>
    <row r="29" spans="3:3">
      <c r="C29">
        <v>2024</v>
      </c>
    </row>
    <row r="30" spans="3:3">
      <c r="C30">
        <v>2025</v>
      </c>
    </row>
    <row r="31" spans="3:3">
      <c r="C31">
        <v>2026</v>
      </c>
    </row>
    <row r="32" spans="3:3">
      <c r="C32">
        <v>2027</v>
      </c>
    </row>
    <row r="33" spans="3:3">
      <c r="C33">
        <v>2028</v>
      </c>
    </row>
    <row r="34" spans="3:3">
      <c r="C34">
        <v>2029</v>
      </c>
    </row>
    <row r="35" spans="3:3">
      <c r="C35">
        <v>2030</v>
      </c>
    </row>
    <row r="36" spans="3:3">
      <c r="C36">
        <v>2031</v>
      </c>
    </row>
    <row r="37" spans="3:3">
      <c r="C37">
        <v>2032</v>
      </c>
    </row>
    <row r="38" spans="3:3">
      <c r="C38">
        <v>2033</v>
      </c>
    </row>
    <row r="39" spans="3:3">
      <c r="C39">
        <v>2034</v>
      </c>
    </row>
    <row r="40" spans="3:3">
      <c r="C40">
        <v>2035</v>
      </c>
    </row>
    <row r="41" spans="3:3">
      <c r="C41">
        <v>2036</v>
      </c>
    </row>
    <row r="42" spans="3:3">
      <c r="C42">
        <v>2037</v>
      </c>
    </row>
    <row r="43" spans="3:3">
      <c r="C43">
        <v>2038</v>
      </c>
    </row>
    <row r="44" spans="3:3">
      <c r="C44">
        <v>2039</v>
      </c>
    </row>
    <row r="45" spans="3:3">
      <c r="C45">
        <v>2040</v>
      </c>
    </row>
  </sheetData>
  <protectedRanges>
    <protectedRange sqref="E2:K9" name="Range1"/>
  </protectedRanges>
  <conditionalFormatting sqref="E4:K9">
    <cfRule type="expression" dxfId="2" priority="1">
      <formula>AND(E4=TODAY(), NOT(MONTH(E4)&lt;&gt;VLOOKUP($J$2, MonthLookup, 2,FALSE)))</formula>
    </cfRule>
    <cfRule type="expression" dxfId="1" priority="2">
      <formula>MONTH(E4)&lt;&gt;VLOOKUP($J$2, MonthLookup, 2,FALSE)</formula>
    </cfRule>
  </conditionalFormatting>
  <dataValidations count="2">
    <dataValidation type="list" allowBlank="1" showInputMessage="1" showErrorMessage="1" sqref="F2" xr:uid="{DB99FEB1-068F-4EEE-86A4-5739221A0EE2}">
      <formula1>$C$1:$C$45</formula1>
    </dataValidation>
    <dataValidation type="list" allowBlank="1" showInputMessage="1" showErrorMessage="1" sqref="J2" xr:uid="{882A067B-AC44-4258-9159-0F44A81739D5}">
      <formula1>$A$1:$A$12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גיליון3"/>
  <dimension ref="A1:Z7"/>
  <sheetViews>
    <sheetView rightToLeft="1" workbookViewId="0">
      <selection activeCell="B15" sqref="B15"/>
    </sheetView>
  </sheetViews>
  <sheetFormatPr defaultRowHeight="15"/>
  <cols>
    <col min="1" max="1" width="31.85546875" customWidth="1"/>
    <col min="2" max="2" width="24.140625" customWidth="1"/>
  </cols>
  <sheetData>
    <row r="1" spans="1:26">
      <c r="A1" t="s">
        <v>573</v>
      </c>
      <c r="B1">
        <v>1000000</v>
      </c>
      <c r="Q1" s="9" t="s">
        <v>0</v>
      </c>
      <c r="Z1" s="9" t="s">
        <v>553</v>
      </c>
    </row>
    <row r="2" spans="1:26">
      <c r="A2" t="s">
        <v>574</v>
      </c>
      <c r="B2">
        <v>0.06</v>
      </c>
    </row>
    <row r="3" spans="1:26">
      <c r="A3" t="s">
        <v>575</v>
      </c>
      <c r="B3">
        <v>27</v>
      </c>
    </row>
    <row r="4" spans="1:26">
      <c r="A4" t="s">
        <v>8</v>
      </c>
      <c r="B4">
        <f>B2/12</f>
        <v>5.0000000000000001E-3</v>
      </c>
    </row>
    <row r="5" spans="1:26">
      <c r="A5" t="s">
        <v>576</v>
      </c>
      <c r="B5">
        <f>B3*12</f>
        <v>324</v>
      </c>
    </row>
    <row r="6" spans="1:26">
      <c r="A6" t="s">
        <v>577</v>
      </c>
      <c r="B6" s="29">
        <f>PMT(B4, B5, -B1)</f>
        <v>6239.8535425337623</v>
      </c>
    </row>
    <row r="7" spans="1:26">
      <c r="A7" t="s">
        <v>578</v>
      </c>
      <c r="B7" s="29">
        <f>B6/0.25</f>
        <v>24959.414170135049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גיליון7"/>
  <dimension ref="A1:Z23"/>
  <sheetViews>
    <sheetView workbookViewId="0">
      <selection activeCell="U23" sqref="U23"/>
    </sheetView>
  </sheetViews>
  <sheetFormatPr defaultRowHeight="15"/>
  <cols>
    <col min="1" max="23" width="6.140625" customWidth="1"/>
  </cols>
  <sheetData>
    <row r="1" spans="1:26">
      <c r="B1" t="s">
        <v>4</v>
      </c>
      <c r="C1" s="7"/>
      <c r="E1" t="s">
        <v>5</v>
      </c>
      <c r="F1" s="7"/>
      <c r="H1" t="s">
        <v>6</v>
      </c>
      <c r="I1" s="7"/>
      <c r="Z1" s="9" t="s">
        <v>553</v>
      </c>
    </row>
    <row r="3" spans="1:26">
      <c r="B3" s="8">
        <v>1</v>
      </c>
      <c r="C3" s="8">
        <v>2</v>
      </c>
      <c r="D3" s="8">
        <v>3</v>
      </c>
      <c r="E3" s="8">
        <v>4</v>
      </c>
      <c r="F3" s="8">
        <v>5</v>
      </c>
      <c r="G3" s="8">
        <v>6</v>
      </c>
      <c r="H3" s="8">
        <v>7</v>
      </c>
      <c r="I3" s="8">
        <v>8</v>
      </c>
      <c r="J3" s="8">
        <v>9</v>
      </c>
      <c r="K3" s="8">
        <v>10</v>
      </c>
      <c r="L3" s="8">
        <v>11</v>
      </c>
      <c r="M3" s="8">
        <v>12</v>
      </c>
      <c r="N3" s="8">
        <v>13</v>
      </c>
      <c r="O3" s="8">
        <v>14</v>
      </c>
      <c r="P3" s="8">
        <v>15</v>
      </c>
      <c r="Q3" s="8">
        <v>16</v>
      </c>
      <c r="R3" s="8">
        <v>17</v>
      </c>
      <c r="S3" s="8">
        <v>18</v>
      </c>
      <c r="T3" s="8">
        <v>19</v>
      </c>
      <c r="U3" s="8">
        <v>20</v>
      </c>
    </row>
    <row r="4" spans="1:26">
      <c r="A4" s="8">
        <v>1</v>
      </c>
      <c r="B4">
        <f>$A4*B$3</f>
        <v>1</v>
      </c>
    </row>
    <row r="5" spans="1:26">
      <c r="A5" s="8">
        <v>2</v>
      </c>
      <c r="C5">
        <f t="dataTable" ref="C5:U23" dt2D="1" dtr="1" r1="B3" r2="A4"/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6">
      <c r="A6" s="8">
        <v>3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6">
      <c r="A7" s="8">
        <v>4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</row>
    <row r="8" spans="1:26">
      <c r="A8" s="8">
        <v>5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6">
      <c r="A9" s="8">
        <v>6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</row>
    <row r="10" spans="1:26">
      <c r="A10" s="8">
        <v>7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6">
      <c r="A11" s="8">
        <v>8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6">
      <c r="A12" s="8">
        <v>9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6">
      <c r="A13" s="8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6">
      <c r="A14" s="8">
        <v>11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</row>
    <row r="15" spans="1:26">
      <c r="A15" s="8">
        <v>12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</row>
    <row r="16" spans="1:26">
      <c r="A16" s="8">
        <v>13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1">
      <c r="A17" s="8">
        <v>14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1">
      <c r="A18" s="8">
        <v>15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1">
      <c r="A19" s="8">
        <v>16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1">
      <c r="A20" s="8">
        <v>17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1">
      <c r="A21" s="8">
        <v>18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</row>
    <row r="22" spans="1:21">
      <c r="A22" s="8">
        <v>19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1">
      <c r="A23" s="8">
        <v>20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19777-B5B5-440E-A5CB-DADBFB503AE1}">
  <sheetPr codeName="Sheet1"/>
  <dimension ref="A1:Z7"/>
  <sheetViews>
    <sheetView workbookViewId="0">
      <selection activeCell="K14" sqref="K14"/>
    </sheetView>
  </sheetViews>
  <sheetFormatPr defaultRowHeight="15"/>
  <cols>
    <col min="10" max="10" width="37.28515625" customWidth="1"/>
  </cols>
  <sheetData>
    <row r="1" spans="1:26">
      <c r="A1">
        <v>10</v>
      </c>
      <c r="B1">
        <v>10</v>
      </c>
      <c r="C1">
        <v>10</v>
      </c>
      <c r="H1" s="42" t="s">
        <v>845</v>
      </c>
      <c r="I1" s="43"/>
      <c r="J1" s="44"/>
      <c r="Z1" s="9" t="s">
        <v>553</v>
      </c>
    </row>
    <row r="2" spans="1:26" ht="48" customHeight="1">
      <c r="A2">
        <v>20</v>
      </c>
      <c r="B2">
        <v>20</v>
      </c>
      <c r="C2">
        <v>20</v>
      </c>
      <c r="H2" s="45"/>
      <c r="I2" s="46"/>
      <c r="J2" s="47"/>
    </row>
    <row r="3" spans="1:26">
      <c r="A3">
        <v>30</v>
      </c>
      <c r="B3">
        <v>30</v>
      </c>
      <c r="C3">
        <v>30</v>
      </c>
    </row>
    <row r="4" spans="1:26">
      <c r="A4">
        <v>40</v>
      </c>
      <c r="B4">
        <v>40</v>
      </c>
    </row>
    <row r="5" spans="1:26">
      <c r="B5">
        <v>50</v>
      </c>
    </row>
    <row r="6" spans="1:26">
      <c r="B6">
        <v>60</v>
      </c>
    </row>
    <row r="7" spans="1:26">
      <c r="A7">
        <f>SUM(A1:A4)</f>
        <v>100</v>
      </c>
      <c r="B7">
        <f>SUM(B1:B6)</f>
        <v>210</v>
      </c>
      <c r="C7">
        <f>SUM(C1:C3)</f>
        <v>60</v>
      </c>
    </row>
  </sheetData>
  <mergeCells count="1">
    <mergeCell ref="H1:J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2D0A5-BCC7-46F0-9C29-49A3643D50F0}">
  <sheetPr codeName="גיליון8"/>
  <dimension ref="A1:Z32"/>
  <sheetViews>
    <sheetView workbookViewId="0">
      <selection activeCell="J13" sqref="J13"/>
    </sheetView>
  </sheetViews>
  <sheetFormatPr defaultColWidth="8.85546875" defaultRowHeight="15.75"/>
  <cols>
    <col min="1" max="5" width="11" style="10" customWidth="1"/>
    <col min="6" max="6" width="8.85546875" style="10"/>
    <col min="7" max="7" width="12.42578125" style="10" bestFit="1" customWidth="1"/>
    <col min="8" max="16384" width="8.85546875" style="10"/>
  </cols>
  <sheetData>
    <row r="1" spans="1:26">
      <c r="H1" s="11" t="s">
        <v>0</v>
      </c>
      <c r="Z1" s="9" t="s">
        <v>553</v>
      </c>
    </row>
    <row r="3" spans="1:26">
      <c r="D3" s="10" t="s">
        <v>7</v>
      </c>
      <c r="E3" s="10">
        <v>50000</v>
      </c>
    </row>
    <row r="4" spans="1:26">
      <c r="D4" s="10" t="s">
        <v>9</v>
      </c>
      <c r="E4" s="10">
        <v>12</v>
      </c>
    </row>
    <row r="5" spans="1:26" ht="16.5" thickBot="1">
      <c r="D5" s="12" t="s">
        <v>8</v>
      </c>
      <c r="E5" s="13">
        <v>5.0000000000000001E-3</v>
      </c>
    </row>
    <row r="6" spans="1:26">
      <c r="D6" s="10" t="s">
        <v>10</v>
      </c>
      <c r="E6" s="14">
        <v>2306.7326480490929</v>
      </c>
      <c r="G6" s="15">
        <f>B32</f>
        <v>1.4097167877480388E-11</v>
      </c>
    </row>
    <row r="8" spans="1:26" ht="31.5">
      <c r="A8" s="16" t="s">
        <v>11</v>
      </c>
      <c r="B8" s="16" t="s">
        <v>12</v>
      </c>
      <c r="C8" s="16" t="s">
        <v>13</v>
      </c>
      <c r="D8" s="16" t="s">
        <v>14</v>
      </c>
      <c r="E8" s="16" t="s">
        <v>15</v>
      </c>
    </row>
    <row r="9" spans="1:26">
      <c r="A9" s="10">
        <v>1</v>
      </c>
      <c r="B9" s="14">
        <f>E3</f>
        <v>50000</v>
      </c>
      <c r="C9" s="14">
        <f>$E$6</f>
        <v>2306.7326480490929</v>
      </c>
      <c r="D9" s="14">
        <f>B9*$E$5</f>
        <v>250</v>
      </c>
      <c r="E9" s="14">
        <f>C9-D9</f>
        <v>2056.7326480490929</v>
      </c>
    </row>
    <row r="10" spans="1:26">
      <c r="B10" s="14">
        <f>B9-E9</f>
        <v>47943.267351950904</v>
      </c>
      <c r="C10" s="14">
        <f>$E$6</f>
        <v>2306.7326480490929</v>
      </c>
      <c r="D10" s="14">
        <f>B10*$E$5</f>
        <v>239.71633675975454</v>
      </c>
      <c r="E10" s="14">
        <f>C10-D10</f>
        <v>2067.0163112893383</v>
      </c>
    </row>
    <row r="11" spans="1:26">
      <c r="B11" s="14">
        <f t="shared" ref="B11:B32" si="0">B10-E10</f>
        <v>45876.251040661569</v>
      </c>
      <c r="C11" s="14">
        <f t="shared" ref="C11:C32" si="1">$E$6</f>
        <v>2306.7326480490929</v>
      </c>
      <c r="D11" s="14">
        <f t="shared" ref="D11:D32" si="2">B11*$E$5</f>
        <v>229.38125520330786</v>
      </c>
      <c r="E11" s="14">
        <f t="shared" ref="E11:E32" si="3">C11-D11</f>
        <v>2077.3513928457851</v>
      </c>
    </row>
    <row r="12" spans="1:26">
      <c r="B12" s="14">
        <f t="shared" si="0"/>
        <v>43798.899647815786</v>
      </c>
      <c r="C12" s="14">
        <f t="shared" si="1"/>
        <v>2306.7326480490929</v>
      </c>
      <c r="D12" s="14">
        <f t="shared" si="2"/>
        <v>218.99449823907892</v>
      </c>
      <c r="E12" s="14">
        <f t="shared" si="3"/>
        <v>2087.738149810014</v>
      </c>
    </row>
    <row r="13" spans="1:26">
      <c r="B13" s="14">
        <f t="shared" si="0"/>
        <v>41711.161498005771</v>
      </c>
      <c r="C13" s="14">
        <f t="shared" si="1"/>
        <v>2306.7326480490929</v>
      </c>
      <c r="D13" s="14">
        <f t="shared" si="2"/>
        <v>208.55580749002885</v>
      </c>
      <c r="E13" s="14">
        <f t="shared" si="3"/>
        <v>2098.1768405590642</v>
      </c>
    </row>
    <row r="14" spans="1:26">
      <c r="B14" s="14">
        <f t="shared" si="0"/>
        <v>39612.984657446708</v>
      </c>
      <c r="C14" s="14">
        <f t="shared" si="1"/>
        <v>2306.7326480490929</v>
      </c>
      <c r="D14" s="14">
        <f t="shared" si="2"/>
        <v>198.06492328723354</v>
      </c>
      <c r="E14" s="14">
        <f t="shared" si="3"/>
        <v>2108.6677247618595</v>
      </c>
    </row>
    <row r="15" spans="1:26">
      <c r="B15" s="14">
        <f t="shared" si="0"/>
        <v>37504.316932684851</v>
      </c>
      <c r="C15" s="14">
        <f t="shared" si="1"/>
        <v>2306.7326480490929</v>
      </c>
      <c r="D15" s="14">
        <f t="shared" si="2"/>
        <v>187.52158466342425</v>
      </c>
      <c r="E15" s="14">
        <f t="shared" si="3"/>
        <v>2119.2110633856687</v>
      </c>
    </row>
    <row r="16" spans="1:26">
      <c r="B16" s="14">
        <f t="shared" si="0"/>
        <v>35385.105869299179</v>
      </c>
      <c r="C16" s="14">
        <f t="shared" si="1"/>
        <v>2306.7326480490929</v>
      </c>
      <c r="D16" s="14">
        <f t="shared" si="2"/>
        <v>176.92552934649589</v>
      </c>
      <c r="E16" s="14">
        <f t="shared" si="3"/>
        <v>2129.8071187025971</v>
      </c>
    </row>
    <row r="17" spans="2:5">
      <c r="B17" s="14">
        <f t="shared" si="0"/>
        <v>33255.298750596579</v>
      </c>
      <c r="C17" s="14">
        <f t="shared" si="1"/>
        <v>2306.7326480490929</v>
      </c>
      <c r="D17" s="14">
        <f t="shared" si="2"/>
        <v>166.2764937529829</v>
      </c>
      <c r="E17" s="14">
        <f t="shared" si="3"/>
        <v>2140.4561542961101</v>
      </c>
    </row>
    <row r="18" spans="2:5">
      <c r="B18" s="14">
        <f t="shared" si="0"/>
        <v>31114.84259630047</v>
      </c>
      <c r="C18" s="14">
        <f t="shared" si="1"/>
        <v>2306.7326480490929</v>
      </c>
      <c r="D18" s="14">
        <f t="shared" si="2"/>
        <v>155.57421298150234</v>
      </c>
      <c r="E18" s="14">
        <f t="shared" si="3"/>
        <v>2151.1584350675903</v>
      </c>
    </row>
    <row r="19" spans="2:5">
      <c r="B19" s="14">
        <f t="shared" si="0"/>
        <v>28963.684161232879</v>
      </c>
      <c r="C19" s="14">
        <f t="shared" si="1"/>
        <v>2306.7326480490929</v>
      </c>
      <c r="D19" s="14">
        <f t="shared" si="2"/>
        <v>144.8184208061644</v>
      </c>
      <c r="E19" s="14">
        <f t="shared" si="3"/>
        <v>2161.9142272429285</v>
      </c>
    </row>
    <row r="20" spans="2:5">
      <c r="B20" s="14">
        <f t="shared" si="0"/>
        <v>26801.769933989952</v>
      </c>
      <c r="C20" s="14">
        <f t="shared" si="1"/>
        <v>2306.7326480490929</v>
      </c>
      <c r="D20" s="14">
        <f t="shared" si="2"/>
        <v>134.00884966994977</v>
      </c>
      <c r="E20" s="14">
        <f t="shared" si="3"/>
        <v>2172.7237983791429</v>
      </c>
    </row>
    <row r="21" spans="2:5">
      <c r="B21" s="14">
        <f t="shared" si="0"/>
        <v>24629.04613561081</v>
      </c>
      <c r="C21" s="14">
        <f t="shared" si="1"/>
        <v>2306.7326480490929</v>
      </c>
      <c r="D21" s="14">
        <f t="shared" si="2"/>
        <v>123.14523067805405</v>
      </c>
      <c r="E21" s="14">
        <f t="shared" si="3"/>
        <v>2183.587417371039</v>
      </c>
    </row>
    <row r="22" spans="2:5">
      <c r="B22" s="14">
        <f t="shared" si="0"/>
        <v>22445.45871823977</v>
      </c>
      <c r="C22" s="14">
        <f t="shared" si="1"/>
        <v>2306.7326480490929</v>
      </c>
      <c r="D22" s="14">
        <f t="shared" si="2"/>
        <v>112.22729359119886</v>
      </c>
      <c r="E22" s="14">
        <f t="shared" si="3"/>
        <v>2194.5053544578941</v>
      </c>
    </row>
    <row r="23" spans="2:5">
      <c r="B23" s="14">
        <f t="shared" si="0"/>
        <v>20250.953363781875</v>
      </c>
      <c r="C23" s="14">
        <f t="shared" si="1"/>
        <v>2306.7326480490929</v>
      </c>
      <c r="D23" s="14">
        <f t="shared" si="2"/>
        <v>101.25476681890937</v>
      </c>
      <c r="E23" s="14">
        <f t="shared" si="3"/>
        <v>2205.4778812301834</v>
      </c>
    </row>
    <row r="24" spans="2:5">
      <c r="B24" s="14">
        <f t="shared" si="0"/>
        <v>18045.47548255169</v>
      </c>
      <c r="C24" s="14">
        <f t="shared" si="1"/>
        <v>2306.7326480490929</v>
      </c>
      <c r="D24" s="14">
        <f t="shared" si="2"/>
        <v>90.227377412758457</v>
      </c>
      <c r="E24" s="14">
        <f t="shared" si="3"/>
        <v>2216.5052706363344</v>
      </c>
    </row>
    <row r="25" spans="2:5">
      <c r="B25" s="14">
        <f t="shared" si="0"/>
        <v>15828.970211915355</v>
      </c>
      <c r="C25" s="14">
        <f t="shared" si="1"/>
        <v>2306.7326480490929</v>
      </c>
      <c r="D25" s="14">
        <f t="shared" si="2"/>
        <v>79.14485105957678</v>
      </c>
      <c r="E25" s="14">
        <f t="shared" si="3"/>
        <v>2227.5877969895159</v>
      </c>
    </row>
    <row r="26" spans="2:5">
      <c r="B26" s="14">
        <f t="shared" si="0"/>
        <v>13601.38241492584</v>
      </c>
      <c r="C26" s="14">
        <f t="shared" si="1"/>
        <v>2306.7326480490929</v>
      </c>
      <c r="D26" s="14">
        <f t="shared" si="2"/>
        <v>68.006912074629199</v>
      </c>
      <c r="E26" s="14">
        <f t="shared" si="3"/>
        <v>2238.7257359744635</v>
      </c>
    </row>
    <row r="27" spans="2:5">
      <c r="B27" s="14">
        <f t="shared" si="0"/>
        <v>11362.656678951376</v>
      </c>
      <c r="C27" s="14">
        <f t="shared" si="1"/>
        <v>2306.7326480490929</v>
      </c>
      <c r="D27" s="14">
        <f t="shared" si="2"/>
        <v>56.81328339475688</v>
      </c>
      <c r="E27" s="14">
        <f t="shared" si="3"/>
        <v>2249.9193646543358</v>
      </c>
    </row>
    <row r="28" spans="2:5">
      <c r="B28" s="14">
        <f t="shared" si="0"/>
        <v>9112.7373142970409</v>
      </c>
      <c r="C28" s="14">
        <f t="shared" si="1"/>
        <v>2306.7326480490929</v>
      </c>
      <c r="D28" s="14">
        <f t="shared" si="2"/>
        <v>45.563686571485206</v>
      </c>
      <c r="E28" s="14">
        <f t="shared" si="3"/>
        <v>2261.1689614776078</v>
      </c>
    </row>
    <row r="29" spans="2:5">
      <c r="B29" s="14">
        <f t="shared" si="0"/>
        <v>6851.5683528194331</v>
      </c>
      <c r="C29" s="14">
        <f t="shared" si="1"/>
        <v>2306.7326480490929</v>
      </c>
      <c r="D29" s="14">
        <f t="shared" si="2"/>
        <v>34.257841764097165</v>
      </c>
      <c r="E29" s="14">
        <f t="shared" si="3"/>
        <v>2272.4748062849958</v>
      </c>
    </row>
    <row r="30" spans="2:5">
      <c r="B30" s="14">
        <f t="shared" si="0"/>
        <v>4579.0935465344373</v>
      </c>
      <c r="C30" s="14">
        <f t="shared" si="1"/>
        <v>2306.7326480490929</v>
      </c>
      <c r="D30" s="14">
        <f t="shared" si="2"/>
        <v>22.895467732672188</v>
      </c>
      <c r="E30" s="14">
        <f t="shared" si="3"/>
        <v>2283.8371803164205</v>
      </c>
    </row>
    <row r="31" spans="2:5">
      <c r="B31" s="14">
        <f t="shared" si="0"/>
        <v>2295.2563662180169</v>
      </c>
      <c r="C31" s="14">
        <f t="shared" si="1"/>
        <v>2306.7326480490929</v>
      </c>
      <c r="D31" s="14">
        <f t="shared" si="2"/>
        <v>11.476281831090084</v>
      </c>
      <c r="E31" s="14">
        <f t="shared" si="3"/>
        <v>2295.2563662180028</v>
      </c>
    </row>
    <row r="32" spans="2:5">
      <c r="B32" s="14">
        <f t="shared" si="0"/>
        <v>1.4097167877480388E-11</v>
      </c>
      <c r="C32" s="14">
        <f t="shared" si="1"/>
        <v>2306.7326480490929</v>
      </c>
      <c r="D32" s="14">
        <f t="shared" si="2"/>
        <v>7.0485839387401938E-14</v>
      </c>
      <c r="E32" s="14">
        <f t="shared" si="3"/>
        <v>2306.7326480490929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F21B1-F925-46A1-8B76-B2A1D732AB3D}">
  <sheetPr codeName="גיליון9"/>
  <dimension ref="A1:AZ502"/>
  <sheetViews>
    <sheetView workbookViewId="0">
      <selection activeCell="W18" sqref="W18"/>
    </sheetView>
  </sheetViews>
  <sheetFormatPr defaultRowHeight="15"/>
  <cols>
    <col min="1" max="1" width="17.28515625" customWidth="1"/>
    <col min="2" max="2" width="10.28515625" customWidth="1"/>
    <col min="3" max="3" width="11.140625" customWidth="1"/>
    <col min="4" max="4" width="13.5703125" customWidth="1"/>
    <col min="5" max="5" width="11.42578125" customWidth="1"/>
    <col min="6" max="6" width="10.5703125" customWidth="1"/>
    <col min="7" max="7" width="15.85546875" customWidth="1"/>
    <col min="8" max="8" width="14.140625" customWidth="1"/>
    <col min="9" max="9" width="9.85546875" bestFit="1" customWidth="1"/>
    <col min="10" max="10" width="9.5703125" customWidth="1"/>
    <col min="11" max="11" width="14.5703125" customWidth="1"/>
    <col min="12" max="12" width="10.7109375" customWidth="1"/>
    <col min="13" max="13" width="9.5703125" customWidth="1"/>
    <col min="14" max="14" width="15" customWidth="1"/>
    <col min="15" max="15" width="9.5703125" customWidth="1"/>
    <col min="23" max="23" width="13.7109375" customWidth="1"/>
  </cols>
  <sheetData>
    <row r="1" spans="1:52">
      <c r="A1" s="17" t="s">
        <v>16</v>
      </c>
      <c r="B1" s="2" t="s">
        <v>17</v>
      </c>
      <c r="C1" s="2" t="s">
        <v>18</v>
      </c>
      <c r="D1" s="3" t="s">
        <v>19</v>
      </c>
      <c r="E1" s="2" t="s">
        <v>20</v>
      </c>
      <c r="F1" s="2" t="s">
        <v>21</v>
      </c>
      <c r="G1" s="2" t="s">
        <v>22</v>
      </c>
      <c r="H1" s="4" t="s">
        <v>23</v>
      </c>
      <c r="J1" s="2" t="s">
        <v>17</v>
      </c>
      <c r="K1" s="2" t="s">
        <v>18</v>
      </c>
      <c r="L1" s="3" t="s">
        <v>19</v>
      </c>
      <c r="M1" s="2" t="s">
        <v>20</v>
      </c>
      <c r="N1" s="2" t="s">
        <v>21</v>
      </c>
      <c r="P1" s="2" t="s">
        <v>17</v>
      </c>
      <c r="Q1" s="2" t="s">
        <v>18</v>
      </c>
      <c r="R1" s="3" t="s">
        <v>19</v>
      </c>
      <c r="S1" s="2" t="s">
        <v>20</v>
      </c>
      <c r="T1" s="2" t="s">
        <v>21</v>
      </c>
      <c r="W1" s="48" t="s">
        <v>88</v>
      </c>
      <c r="AZ1" s="9" t="s">
        <v>553</v>
      </c>
    </row>
    <row r="2" spans="1:52">
      <c r="A2" s="18">
        <v>44927</v>
      </c>
      <c r="B2" s="19" t="s">
        <v>81</v>
      </c>
      <c r="C2" s="19" t="s">
        <v>50</v>
      </c>
      <c r="D2" s="19" t="s">
        <v>51</v>
      </c>
      <c r="E2" s="19">
        <v>139</v>
      </c>
      <c r="F2" s="19">
        <v>12</v>
      </c>
      <c r="G2" s="19" t="s">
        <v>83</v>
      </c>
      <c r="H2" s="20">
        <v>15221</v>
      </c>
      <c r="J2" t="str" cm="1">
        <f t="array" ref="J2:N502">_xlfn._xlws.SORT(B1:F501, {1,3,2}, {1,1,1})</f>
        <v>אילת</v>
      </c>
      <c r="K2" t="str">
        <v>פגפ</v>
      </c>
      <c r="L2" t="str">
        <v>אבטחה</v>
      </c>
      <c r="M2">
        <v>299</v>
      </c>
      <c r="N2">
        <v>1</v>
      </c>
      <c r="P2" t="str" cm="1">
        <f t="array" aca="1" ref="P2:T502" ca="1">INDEX(A1:H501, MATCH(LARGE(H1:H501, ROW(INDIRECT("1:" &amp; COUNTA(H1:H501)))), H1:H501, 0), {2,3,4,5,6})</f>
        <v>ירושלים</v>
      </c>
      <c r="Q2" t="str">
        <f ca="1"/>
        <v>אסטאונד</v>
      </c>
      <c r="R2" t="str">
        <f ca="1"/>
        <v>מצגות</v>
      </c>
      <c r="S2">
        <f ca="1"/>
        <v>399</v>
      </c>
      <c r="T2">
        <f ca="1"/>
        <v>21</v>
      </c>
      <c r="W2" s="48"/>
    </row>
    <row r="3" spans="1:52">
      <c r="A3" s="18">
        <v>44958</v>
      </c>
      <c r="B3" s="19" t="s">
        <v>49</v>
      </c>
      <c r="C3" s="19" t="s">
        <v>29</v>
      </c>
      <c r="D3" s="19" t="s">
        <v>30</v>
      </c>
      <c r="E3" s="19">
        <v>899</v>
      </c>
      <c r="F3" s="19">
        <v>31</v>
      </c>
      <c r="G3" s="19" t="s">
        <v>79</v>
      </c>
      <c r="H3" s="20">
        <v>8534</v>
      </c>
      <c r="J3" t="str">
        <v>אילת</v>
      </c>
      <c r="K3" t="str">
        <v>פגפ</v>
      </c>
      <c r="L3" t="str">
        <v>אבטחה</v>
      </c>
      <c r="M3">
        <v>299</v>
      </c>
      <c r="N3">
        <v>6</v>
      </c>
      <c r="P3" t="str">
        <f ca="1"/>
        <v>חיפה</v>
      </c>
      <c r="Q3" t="str">
        <f ca="1"/>
        <v>קורל דרו</v>
      </c>
      <c r="R3" t="str">
        <f ca="1"/>
        <v>שרטוט</v>
      </c>
      <c r="S3">
        <f ca="1"/>
        <v>280</v>
      </c>
      <c r="T3">
        <f ca="1"/>
        <v>30</v>
      </c>
      <c r="W3" s="48"/>
    </row>
    <row r="4" spans="1:52">
      <c r="A4" s="18">
        <v>44958</v>
      </c>
      <c r="B4" s="19" t="s">
        <v>38</v>
      </c>
      <c r="C4" s="19" t="s">
        <v>44</v>
      </c>
      <c r="D4" s="19" t="s">
        <v>45</v>
      </c>
      <c r="E4" s="19">
        <v>99</v>
      </c>
      <c r="F4" s="19">
        <v>21</v>
      </c>
      <c r="G4" s="19" t="s">
        <v>64</v>
      </c>
      <c r="H4" s="20">
        <v>6804</v>
      </c>
      <c r="J4" t="str">
        <v>אילת</v>
      </c>
      <c r="K4" t="str">
        <v>פגפ</v>
      </c>
      <c r="L4" t="str">
        <v>אבטחה</v>
      </c>
      <c r="M4">
        <v>299</v>
      </c>
      <c r="N4">
        <v>18</v>
      </c>
      <c r="P4" t="str">
        <f ca="1"/>
        <v>חיפה</v>
      </c>
      <c r="Q4" t="str">
        <f ca="1"/>
        <v>אקרובט</v>
      </c>
      <c r="R4" t="str">
        <f ca="1"/>
        <v>משרדית</v>
      </c>
      <c r="S4">
        <f ca="1"/>
        <v>599</v>
      </c>
      <c r="T4">
        <f ca="1"/>
        <v>3</v>
      </c>
      <c r="W4" s="22" cm="1">
        <f t="array" ref="W4">SUM(_xlfn._xlws.FILTER(H1:H501, LEFT(G1:G501, 1) = "א"))</f>
        <v>531903</v>
      </c>
    </row>
    <row r="5" spans="1:52">
      <c r="A5" s="18">
        <v>44986</v>
      </c>
      <c r="B5" s="19" t="s">
        <v>38</v>
      </c>
      <c r="C5" s="19" t="s">
        <v>73</v>
      </c>
      <c r="D5" s="19" t="s">
        <v>51</v>
      </c>
      <c r="E5" s="19">
        <v>119</v>
      </c>
      <c r="F5" s="19">
        <v>6</v>
      </c>
      <c r="G5" s="19" t="s">
        <v>41</v>
      </c>
      <c r="H5" s="20">
        <v>18169</v>
      </c>
      <c r="J5" t="str">
        <v>אילת</v>
      </c>
      <c r="K5" t="str">
        <v>פגפ</v>
      </c>
      <c r="L5" t="str">
        <v>אבטחה</v>
      </c>
      <c r="M5">
        <v>299</v>
      </c>
      <c r="N5">
        <v>29</v>
      </c>
      <c r="P5" t="str">
        <f ca="1"/>
        <v>תל אביב</v>
      </c>
      <c r="Q5" t="str">
        <f ca="1"/>
        <v>איריס</v>
      </c>
      <c r="R5" t="str">
        <f ca="1"/>
        <v>אנטיוירוס</v>
      </c>
      <c r="S5">
        <f ca="1"/>
        <v>499</v>
      </c>
      <c r="T5">
        <f ca="1"/>
        <v>1</v>
      </c>
    </row>
    <row r="6" spans="1:52" ht="13.7" customHeight="1">
      <c r="A6" s="18">
        <v>44986</v>
      </c>
      <c r="B6" s="19" t="s">
        <v>55</v>
      </c>
      <c r="C6" s="19" t="s">
        <v>48</v>
      </c>
      <c r="D6" s="19" t="s">
        <v>30</v>
      </c>
      <c r="E6" s="19">
        <v>95</v>
      </c>
      <c r="F6" s="19">
        <v>23</v>
      </c>
      <c r="G6" s="19" t="s">
        <v>80</v>
      </c>
      <c r="H6" s="20">
        <v>19332</v>
      </c>
      <c r="J6" t="str">
        <v>אילת</v>
      </c>
      <c r="K6" t="str">
        <v>פגפ</v>
      </c>
      <c r="L6" t="str">
        <v>אבטחה</v>
      </c>
      <c r="M6">
        <v>299</v>
      </c>
      <c r="N6">
        <v>18</v>
      </c>
      <c r="P6" t="str">
        <f ca="1"/>
        <v>אילת</v>
      </c>
      <c r="Q6" t="str">
        <f ca="1"/>
        <v>ברידג'</v>
      </c>
      <c r="R6" t="str">
        <f ca="1"/>
        <v>בידור</v>
      </c>
      <c r="S6">
        <f ca="1"/>
        <v>75</v>
      </c>
      <c r="T6">
        <f ca="1"/>
        <v>18</v>
      </c>
      <c r="W6" s="49" t="s">
        <v>89</v>
      </c>
    </row>
    <row r="7" spans="1:52">
      <c r="A7" s="18">
        <v>45047</v>
      </c>
      <c r="B7" s="19" t="s">
        <v>38</v>
      </c>
      <c r="C7" s="19" t="s">
        <v>57</v>
      </c>
      <c r="D7" s="19" t="s">
        <v>58</v>
      </c>
      <c r="E7" s="19">
        <v>175</v>
      </c>
      <c r="F7" s="19">
        <v>20</v>
      </c>
      <c r="G7" s="19" t="s">
        <v>63</v>
      </c>
      <c r="H7" s="20">
        <v>2806</v>
      </c>
      <c r="J7" t="str">
        <v>אילת</v>
      </c>
      <c r="K7" t="str">
        <v>פגפ</v>
      </c>
      <c r="L7" t="str">
        <v>אבטחה</v>
      </c>
      <c r="M7">
        <v>299</v>
      </c>
      <c r="N7">
        <v>6</v>
      </c>
      <c r="P7" t="str">
        <f ca="1"/>
        <v>מכבים</v>
      </c>
      <c r="Q7" t="str">
        <f ca="1"/>
        <v>פיירוול 1</v>
      </c>
      <c r="R7" t="str">
        <f ca="1"/>
        <v>אבטחה</v>
      </c>
      <c r="S7">
        <f ca="1"/>
        <v>229</v>
      </c>
      <c r="T7">
        <f ca="1"/>
        <v>6</v>
      </c>
      <c r="W7" s="49"/>
    </row>
    <row r="8" spans="1:52">
      <c r="A8" s="18">
        <v>45047</v>
      </c>
      <c r="B8" s="19" t="s">
        <v>67</v>
      </c>
      <c r="C8" s="19" t="s">
        <v>50</v>
      </c>
      <c r="D8" s="19" t="s">
        <v>51</v>
      </c>
      <c r="E8" s="19">
        <v>139</v>
      </c>
      <c r="F8" s="19">
        <v>20</v>
      </c>
      <c r="G8" s="19" t="s">
        <v>78</v>
      </c>
      <c r="H8" s="20">
        <v>17291</v>
      </c>
      <c r="J8" t="str">
        <v>אילת</v>
      </c>
      <c r="K8" t="str">
        <v>פגפ</v>
      </c>
      <c r="L8" t="str">
        <v>אבטחה</v>
      </c>
      <c r="M8">
        <v>299</v>
      </c>
      <c r="N8">
        <v>30</v>
      </c>
      <c r="P8" t="str">
        <f ca="1"/>
        <v>מכבים</v>
      </c>
      <c r="Q8" t="str">
        <f ca="1"/>
        <v>זיפ-יט</v>
      </c>
      <c r="R8" t="str">
        <f ca="1"/>
        <v>דחיסה</v>
      </c>
      <c r="S8">
        <f ca="1"/>
        <v>99</v>
      </c>
      <c r="T8">
        <f ca="1"/>
        <v>2</v>
      </c>
      <c r="W8" s="49"/>
    </row>
    <row r="9" spans="1:52">
      <c r="A9" s="18">
        <v>45078</v>
      </c>
      <c r="B9" s="19" t="s">
        <v>49</v>
      </c>
      <c r="C9" s="19" t="s">
        <v>85</v>
      </c>
      <c r="D9" s="19" t="s">
        <v>51</v>
      </c>
      <c r="E9" s="19">
        <v>75</v>
      </c>
      <c r="F9" s="19">
        <v>4</v>
      </c>
      <c r="G9" s="19" t="s">
        <v>54</v>
      </c>
      <c r="H9" s="20">
        <v>19518</v>
      </c>
      <c r="J9" t="str">
        <v>אילת</v>
      </c>
      <c r="K9" t="str">
        <v>פגפ</v>
      </c>
      <c r="L9" t="str">
        <v>אבטחה</v>
      </c>
      <c r="M9">
        <v>299</v>
      </c>
      <c r="N9">
        <v>11</v>
      </c>
      <c r="P9" t="str">
        <f ca="1"/>
        <v>ירושלים</v>
      </c>
      <c r="Q9" t="str">
        <f ca="1"/>
        <v>פאוור פוינט</v>
      </c>
      <c r="R9" t="str">
        <f ca="1"/>
        <v>מצגות</v>
      </c>
      <c r="S9">
        <f ca="1"/>
        <v>175</v>
      </c>
      <c r="T9">
        <f ca="1"/>
        <v>20</v>
      </c>
      <c r="W9" s="22" cm="1">
        <f t="array" ref="W9">AVERAGE(_xlfn._xlws.FILTER(H1:H501, B1:B501 = "אילת"))</f>
        <v>10827.190476190477</v>
      </c>
    </row>
    <row r="10" spans="1:52">
      <c r="A10" s="18">
        <v>45108</v>
      </c>
      <c r="B10" s="19" t="s">
        <v>28</v>
      </c>
      <c r="C10" s="19" t="s">
        <v>42</v>
      </c>
      <c r="D10" s="19" t="s">
        <v>30</v>
      </c>
      <c r="E10" s="19">
        <v>59</v>
      </c>
      <c r="F10" s="19">
        <v>31</v>
      </c>
      <c r="G10" s="21" t="s">
        <v>36</v>
      </c>
      <c r="H10" s="20">
        <v>2783</v>
      </c>
      <c r="J10" t="str">
        <v>אילת</v>
      </c>
      <c r="K10" t="str">
        <v>פיירוול 1</v>
      </c>
      <c r="L10" t="str">
        <v>אבטחה</v>
      </c>
      <c r="M10">
        <v>229</v>
      </c>
      <c r="N10">
        <v>32</v>
      </c>
      <c r="P10" t="str">
        <f ca="1"/>
        <v>חיפה</v>
      </c>
      <c r="Q10" t="str">
        <f ca="1"/>
        <v>קורל דרו</v>
      </c>
      <c r="R10" t="str">
        <f ca="1"/>
        <v>שרטוט</v>
      </c>
      <c r="S10">
        <f ca="1"/>
        <v>280</v>
      </c>
      <c r="T10">
        <f ca="1"/>
        <v>9</v>
      </c>
    </row>
    <row r="11" spans="1:52">
      <c r="A11" s="18">
        <v>45139</v>
      </c>
      <c r="B11" s="19" t="s">
        <v>55</v>
      </c>
      <c r="C11" s="19" t="s">
        <v>75</v>
      </c>
      <c r="D11" s="19" t="s">
        <v>30</v>
      </c>
      <c r="E11" s="19">
        <v>350</v>
      </c>
      <c r="F11" s="19">
        <v>9</v>
      </c>
      <c r="G11" s="19" t="s">
        <v>80</v>
      </c>
      <c r="H11" s="20">
        <v>16882</v>
      </c>
      <c r="J11" t="str">
        <v>אילת</v>
      </c>
      <c r="K11" t="str">
        <v>פיירוול 1</v>
      </c>
      <c r="L11" t="str">
        <v>אבטחה</v>
      </c>
      <c r="M11">
        <v>229</v>
      </c>
      <c r="N11">
        <v>14</v>
      </c>
      <c r="P11" t="str">
        <f ca="1"/>
        <v>חיפה</v>
      </c>
      <c r="Q11" t="str">
        <f ca="1"/>
        <v>ברידג'</v>
      </c>
      <c r="R11" t="str">
        <f ca="1"/>
        <v>בידור</v>
      </c>
      <c r="S11">
        <f ca="1"/>
        <v>75</v>
      </c>
      <c r="T11">
        <f ca="1"/>
        <v>4</v>
      </c>
      <c r="W11" s="49" t="s">
        <v>90</v>
      </c>
    </row>
    <row r="12" spans="1:52">
      <c r="A12" s="18">
        <v>45170</v>
      </c>
      <c r="B12" s="19" t="s">
        <v>67</v>
      </c>
      <c r="C12" s="19" t="s">
        <v>53</v>
      </c>
      <c r="D12" s="19" t="s">
        <v>40</v>
      </c>
      <c r="E12" s="19">
        <v>229</v>
      </c>
      <c r="F12" s="19">
        <v>32</v>
      </c>
      <c r="G12" s="19" t="s">
        <v>78</v>
      </c>
      <c r="H12" s="20">
        <v>10761</v>
      </c>
      <c r="J12" t="str">
        <v>אילת</v>
      </c>
      <c r="K12" t="str">
        <v>פיירוול 1</v>
      </c>
      <c r="L12" t="str">
        <v>אבטחה</v>
      </c>
      <c r="M12">
        <v>229</v>
      </c>
      <c r="N12">
        <v>23</v>
      </c>
      <c r="P12" t="str">
        <f ca="1"/>
        <v>תל אביב</v>
      </c>
      <c r="Q12" t="str">
        <f ca="1"/>
        <v>פיירוול 1</v>
      </c>
      <c r="R12" t="str">
        <f ca="1"/>
        <v>אבטחה</v>
      </c>
      <c r="S12">
        <f ca="1"/>
        <v>229</v>
      </c>
      <c r="T12">
        <f ca="1"/>
        <v>8</v>
      </c>
      <c r="W12" s="49"/>
    </row>
    <row r="13" spans="1:52">
      <c r="A13" s="18">
        <v>45170</v>
      </c>
      <c r="B13" s="19" t="s">
        <v>55</v>
      </c>
      <c r="C13" s="19" t="s">
        <v>71</v>
      </c>
      <c r="D13" s="19" t="s">
        <v>30</v>
      </c>
      <c r="E13" s="19">
        <v>555</v>
      </c>
      <c r="F13" s="19">
        <v>4</v>
      </c>
      <c r="G13" s="19" t="s">
        <v>56</v>
      </c>
      <c r="H13" s="20">
        <v>4587</v>
      </c>
      <c r="J13" t="str">
        <v>אילת</v>
      </c>
      <c r="K13" t="str">
        <v>פיירוול 1</v>
      </c>
      <c r="L13" t="str">
        <v>אבטחה</v>
      </c>
      <c r="M13">
        <v>229</v>
      </c>
      <c r="N13">
        <v>33</v>
      </c>
      <c r="P13" t="str">
        <f ca="1"/>
        <v>ירושלים</v>
      </c>
      <c r="Q13" t="str">
        <f ca="1"/>
        <v>זיפ-יט</v>
      </c>
      <c r="R13" t="str">
        <f ca="1"/>
        <v>דחיסה</v>
      </c>
      <c r="S13">
        <f ca="1"/>
        <v>99</v>
      </c>
      <c r="T13">
        <f ca="1"/>
        <v>19</v>
      </c>
      <c r="W13" s="49"/>
    </row>
    <row r="14" spans="1:52">
      <c r="A14" s="18">
        <v>45200</v>
      </c>
      <c r="B14" s="19" t="s">
        <v>28</v>
      </c>
      <c r="C14" s="19" t="s">
        <v>75</v>
      </c>
      <c r="D14" s="19" t="s">
        <v>30</v>
      </c>
      <c r="E14" s="19">
        <v>350</v>
      </c>
      <c r="F14" s="19">
        <v>16</v>
      </c>
      <c r="G14" s="19" t="s">
        <v>43</v>
      </c>
      <c r="H14" s="20">
        <v>3097</v>
      </c>
      <c r="J14" t="str">
        <v>אילת</v>
      </c>
      <c r="K14" t="str">
        <v>פרו-פורט</v>
      </c>
      <c r="L14" t="str">
        <v>אבטחה</v>
      </c>
      <c r="M14">
        <v>149</v>
      </c>
      <c r="N14">
        <v>1</v>
      </c>
      <c r="P14" t="str">
        <f ca="1"/>
        <v>תל אביב</v>
      </c>
      <c r="Q14" t="str">
        <f ca="1"/>
        <v>סוליטיר</v>
      </c>
      <c r="R14" t="str">
        <f ca="1"/>
        <v>בידור</v>
      </c>
      <c r="S14">
        <f ca="1"/>
        <v>119</v>
      </c>
      <c r="T14">
        <f ca="1"/>
        <v>20</v>
      </c>
      <c r="W14" s="22">
        <f>SUMIFS(H1:H501, B1:B501, "תל אביב", A1:A501, "&gt;=" &amp; DATE(2023, 3, 1), A1:A501, "&lt;" &amp; DATE(2023, 4, 1))</f>
        <v>38218</v>
      </c>
    </row>
    <row r="15" spans="1:52">
      <c r="A15" s="18">
        <v>45200</v>
      </c>
      <c r="B15" s="19" t="s">
        <v>28</v>
      </c>
      <c r="C15" s="19" t="s">
        <v>73</v>
      </c>
      <c r="D15" s="19" t="s">
        <v>51</v>
      </c>
      <c r="E15" s="19">
        <v>119</v>
      </c>
      <c r="F15" s="19">
        <v>1</v>
      </c>
      <c r="G15" s="21" t="s">
        <v>36</v>
      </c>
      <c r="H15" s="20">
        <v>3011</v>
      </c>
      <c r="J15" t="str">
        <v>אילת</v>
      </c>
      <c r="K15" t="str">
        <v>פרו-פורט</v>
      </c>
      <c r="L15" t="str">
        <v>אבטחה</v>
      </c>
      <c r="M15">
        <v>149</v>
      </c>
      <c r="N15">
        <v>25</v>
      </c>
      <c r="P15" t="str">
        <f ca="1"/>
        <v>תל אביב</v>
      </c>
      <c r="Q15" t="str">
        <f ca="1"/>
        <v>איריס</v>
      </c>
      <c r="R15" t="str">
        <f ca="1"/>
        <v>אנטיוירוס</v>
      </c>
      <c r="S15">
        <f ca="1"/>
        <v>499</v>
      </c>
      <c r="T15">
        <f ca="1"/>
        <v>19</v>
      </c>
    </row>
    <row r="16" spans="1:52">
      <c r="A16" s="18">
        <v>45261</v>
      </c>
      <c r="B16" s="19" t="s">
        <v>28</v>
      </c>
      <c r="C16" s="19" t="s">
        <v>29</v>
      </c>
      <c r="D16" s="19" t="s">
        <v>30</v>
      </c>
      <c r="E16" s="19">
        <v>899</v>
      </c>
      <c r="F16" s="19">
        <v>21</v>
      </c>
      <c r="G16" s="21" t="s">
        <v>36</v>
      </c>
      <c r="H16" s="20">
        <v>3228</v>
      </c>
      <c r="J16" t="str">
        <v>אילת</v>
      </c>
      <c r="K16" t="str">
        <v>איריס</v>
      </c>
      <c r="L16" t="str">
        <v>אנטיוירוס</v>
      </c>
      <c r="M16">
        <v>499</v>
      </c>
      <c r="N16">
        <v>13</v>
      </c>
      <c r="P16" t="str">
        <f ca="1"/>
        <v>מכבים</v>
      </c>
      <c r="Q16" t="str">
        <f ca="1"/>
        <v>אקרובט</v>
      </c>
      <c r="R16" t="str">
        <f ca="1"/>
        <v>משרדית</v>
      </c>
      <c r="S16">
        <f ca="1"/>
        <v>599</v>
      </c>
      <c r="T16">
        <f ca="1"/>
        <v>9</v>
      </c>
    </row>
    <row r="17" spans="1:20">
      <c r="A17" s="18">
        <v>45261</v>
      </c>
      <c r="B17" s="19" t="s">
        <v>55</v>
      </c>
      <c r="C17" s="19" t="s">
        <v>61</v>
      </c>
      <c r="D17" s="19" t="s">
        <v>45</v>
      </c>
      <c r="E17" s="19">
        <v>199</v>
      </c>
      <c r="F17" s="19">
        <v>30</v>
      </c>
      <c r="G17" s="19" t="s">
        <v>66</v>
      </c>
      <c r="H17" s="20">
        <v>2091</v>
      </c>
      <c r="J17" t="str">
        <v>אילת</v>
      </c>
      <c r="K17" t="str">
        <v>נורטון</v>
      </c>
      <c r="L17" t="str">
        <v>אנטיוירוס</v>
      </c>
      <c r="M17">
        <v>629</v>
      </c>
      <c r="N17">
        <v>2</v>
      </c>
      <c r="P17" t="str">
        <f ca="1"/>
        <v>ירושלים</v>
      </c>
      <c r="Q17" t="str">
        <f ca="1"/>
        <v>אקסס</v>
      </c>
      <c r="R17" t="str">
        <f ca="1"/>
        <v>משרדית</v>
      </c>
      <c r="S17">
        <f ca="1"/>
        <v>95</v>
      </c>
      <c r="T17">
        <f ca="1"/>
        <v>23</v>
      </c>
    </row>
    <row r="18" spans="1:20">
      <c r="A18" s="18" t="s">
        <v>675</v>
      </c>
      <c r="B18" s="19" t="s">
        <v>24</v>
      </c>
      <c r="C18" s="19" t="s">
        <v>68</v>
      </c>
      <c r="D18" s="19" t="s">
        <v>40</v>
      </c>
      <c r="E18" s="19">
        <v>149</v>
      </c>
      <c r="F18" s="19">
        <v>26</v>
      </c>
      <c r="G18" s="19" t="s">
        <v>46</v>
      </c>
      <c r="H18" s="20">
        <v>7284</v>
      </c>
      <c r="J18" t="str">
        <v>אילת</v>
      </c>
      <c r="K18" t="str">
        <v>נורטון</v>
      </c>
      <c r="L18" t="str">
        <v>אנטיוירוס</v>
      </c>
      <c r="M18">
        <v>629</v>
      </c>
      <c r="N18">
        <v>29</v>
      </c>
      <c r="P18" t="str">
        <f ca="1"/>
        <v>תל אביב</v>
      </c>
      <c r="Q18" t="str">
        <f ca="1"/>
        <v>פיירוול 1</v>
      </c>
      <c r="R18" t="str">
        <f ca="1"/>
        <v>אבטחה</v>
      </c>
      <c r="S18">
        <f ca="1"/>
        <v>229</v>
      </c>
      <c r="T18">
        <f ca="1"/>
        <v>30</v>
      </c>
    </row>
    <row r="19" spans="1:20">
      <c r="A19" s="18" t="s">
        <v>676</v>
      </c>
      <c r="B19" s="19" t="s">
        <v>55</v>
      </c>
      <c r="C19" s="19" t="s">
        <v>65</v>
      </c>
      <c r="D19" s="19" t="s">
        <v>58</v>
      </c>
      <c r="E19" s="19">
        <v>399</v>
      </c>
      <c r="F19" s="19">
        <v>14</v>
      </c>
      <c r="G19" s="19" t="s">
        <v>80</v>
      </c>
      <c r="H19" s="20">
        <v>1239</v>
      </c>
      <c r="J19" t="str">
        <v>אילת</v>
      </c>
      <c r="K19" t="str">
        <v>נורטון</v>
      </c>
      <c r="L19" t="str">
        <v>אנטיוירוס</v>
      </c>
      <c r="M19">
        <v>629</v>
      </c>
      <c r="N19">
        <v>22</v>
      </c>
      <c r="P19" t="str">
        <f ca="1"/>
        <v>אילת</v>
      </c>
      <c r="Q19" t="str">
        <f ca="1"/>
        <v>נורטון</v>
      </c>
      <c r="R19" t="str">
        <f ca="1"/>
        <v>אנטיוירוס</v>
      </c>
      <c r="S19">
        <f ca="1"/>
        <v>629</v>
      </c>
      <c r="T19">
        <f ca="1"/>
        <v>27</v>
      </c>
    </row>
    <row r="20" spans="1:20">
      <c r="A20" s="18" t="s">
        <v>677</v>
      </c>
      <c r="B20" s="19" t="s">
        <v>28</v>
      </c>
      <c r="C20" s="19" t="s">
        <v>25</v>
      </c>
      <c r="D20" s="19" t="s">
        <v>26</v>
      </c>
      <c r="E20" s="19">
        <v>280</v>
      </c>
      <c r="F20" s="19">
        <v>2</v>
      </c>
      <c r="G20" s="21" t="s">
        <v>36</v>
      </c>
      <c r="H20" s="20">
        <v>4000</v>
      </c>
      <c r="J20" t="str">
        <v>אילת</v>
      </c>
      <c r="K20" t="str">
        <v>נורטון</v>
      </c>
      <c r="L20" t="str">
        <v>אנטיוירוס</v>
      </c>
      <c r="M20">
        <v>629</v>
      </c>
      <c r="N20">
        <v>27</v>
      </c>
      <c r="P20" t="str">
        <f ca="1"/>
        <v>ירושלים</v>
      </c>
      <c r="Q20" t="str">
        <f ca="1"/>
        <v>אסטאונד</v>
      </c>
      <c r="R20" t="str">
        <f ca="1"/>
        <v>מצגות</v>
      </c>
      <c r="S20">
        <f ca="1"/>
        <v>399</v>
      </c>
      <c r="T20">
        <f ca="1"/>
        <v>26</v>
      </c>
    </row>
    <row r="21" spans="1:20">
      <c r="A21" s="18" t="s">
        <v>678</v>
      </c>
      <c r="B21" s="19" t="s">
        <v>28</v>
      </c>
      <c r="C21" s="19" t="s">
        <v>71</v>
      </c>
      <c r="D21" s="19" t="s">
        <v>30</v>
      </c>
      <c r="E21" s="19">
        <v>555</v>
      </c>
      <c r="F21" s="19">
        <v>33</v>
      </c>
      <c r="G21" s="19" t="s">
        <v>34</v>
      </c>
      <c r="H21" s="20">
        <v>14843</v>
      </c>
      <c r="J21" t="str">
        <v>אילת</v>
      </c>
      <c r="K21" t="str">
        <v>ברידג'</v>
      </c>
      <c r="L21" t="str">
        <v>בידור</v>
      </c>
      <c r="M21">
        <v>75</v>
      </c>
      <c r="N21">
        <v>22</v>
      </c>
      <c r="P21" t="str">
        <f ca="1"/>
        <v>תל אביב</v>
      </c>
      <c r="Q21" t="str">
        <f ca="1"/>
        <v>פרו-פורט</v>
      </c>
      <c r="R21" t="str">
        <f ca="1"/>
        <v>אבטחה</v>
      </c>
      <c r="S21">
        <f ca="1"/>
        <v>149</v>
      </c>
      <c r="T21">
        <f ca="1"/>
        <v>14</v>
      </c>
    </row>
    <row r="22" spans="1:20">
      <c r="A22" s="18" t="s">
        <v>679</v>
      </c>
      <c r="B22" s="19" t="s">
        <v>28</v>
      </c>
      <c r="C22" s="19" t="s">
        <v>61</v>
      </c>
      <c r="D22" s="19" t="s">
        <v>45</v>
      </c>
      <c r="E22" s="19">
        <v>199</v>
      </c>
      <c r="F22" s="19">
        <v>19</v>
      </c>
      <c r="G22" s="19" t="s">
        <v>31</v>
      </c>
      <c r="H22" s="20">
        <v>18971</v>
      </c>
      <c r="J22" t="str">
        <v>אילת</v>
      </c>
      <c r="K22" t="str">
        <v>ברידג'</v>
      </c>
      <c r="L22" t="str">
        <v>בידור</v>
      </c>
      <c r="M22">
        <v>75</v>
      </c>
      <c r="N22">
        <v>27</v>
      </c>
      <c r="P22" t="str">
        <f ca="1"/>
        <v>ראשון לציון</v>
      </c>
      <c r="Q22" t="str">
        <f ca="1"/>
        <v>נגן ריל פלייר 1</v>
      </c>
      <c r="R22" t="str">
        <f ca="1"/>
        <v>בידור</v>
      </c>
      <c r="S22">
        <f ca="1"/>
        <v>139</v>
      </c>
      <c r="T22">
        <f ca="1"/>
        <v>2</v>
      </c>
    </row>
    <row r="23" spans="1:20">
      <c r="A23" s="18" t="s">
        <v>680</v>
      </c>
      <c r="B23" s="19" t="s">
        <v>55</v>
      </c>
      <c r="C23" s="19" t="s">
        <v>57</v>
      </c>
      <c r="D23" s="19" t="s">
        <v>58</v>
      </c>
      <c r="E23" s="19">
        <v>175</v>
      </c>
      <c r="F23" s="19">
        <v>16</v>
      </c>
      <c r="G23" s="19" t="s">
        <v>59</v>
      </c>
      <c r="H23" s="20">
        <v>17609</v>
      </c>
      <c r="J23" t="str">
        <v>אילת</v>
      </c>
      <c r="K23" t="str">
        <v>ברידג'</v>
      </c>
      <c r="L23" t="str">
        <v>בידור</v>
      </c>
      <c r="M23">
        <v>75</v>
      </c>
      <c r="N23">
        <v>18</v>
      </c>
      <c r="P23" t="str">
        <f ca="1"/>
        <v>ירושלים</v>
      </c>
      <c r="Q23" t="str">
        <f ca="1"/>
        <v>פנל תמיכת החלטות</v>
      </c>
      <c r="R23" t="str">
        <f ca="1"/>
        <v>משרדית</v>
      </c>
      <c r="S23">
        <f ca="1"/>
        <v>899</v>
      </c>
      <c r="T23">
        <f ca="1"/>
        <v>16</v>
      </c>
    </row>
    <row r="24" spans="1:20">
      <c r="A24" s="18" t="s">
        <v>680</v>
      </c>
      <c r="B24" s="19" t="s">
        <v>55</v>
      </c>
      <c r="C24" s="19" t="s">
        <v>47</v>
      </c>
      <c r="D24" s="19" t="s">
        <v>30</v>
      </c>
      <c r="E24" s="19">
        <v>99</v>
      </c>
      <c r="F24" s="19">
        <v>25</v>
      </c>
      <c r="G24" s="19" t="s">
        <v>59</v>
      </c>
      <c r="H24" s="20">
        <v>15855</v>
      </c>
      <c r="J24" t="str">
        <v>אילת</v>
      </c>
      <c r="K24" t="str">
        <v>נגן ריל פלייר 1</v>
      </c>
      <c r="L24" t="str">
        <v>בידור</v>
      </c>
      <c r="M24">
        <v>139</v>
      </c>
      <c r="N24">
        <v>20</v>
      </c>
      <c r="P24" t="str">
        <f ca="1"/>
        <v>תל אביב</v>
      </c>
      <c r="Q24" t="str">
        <f ca="1"/>
        <v>ווין-זיפ 8</v>
      </c>
      <c r="R24" t="str">
        <f ca="1"/>
        <v>דחיסה</v>
      </c>
      <c r="S24">
        <f ca="1"/>
        <v>199</v>
      </c>
      <c r="T24">
        <f ca="1"/>
        <v>19</v>
      </c>
    </row>
    <row r="25" spans="1:20">
      <c r="A25" s="18" t="s">
        <v>681</v>
      </c>
      <c r="B25" s="19" t="s">
        <v>24</v>
      </c>
      <c r="C25" s="19" t="s">
        <v>32</v>
      </c>
      <c r="D25" s="19" t="s">
        <v>33</v>
      </c>
      <c r="E25" s="19">
        <v>499</v>
      </c>
      <c r="F25" s="19">
        <v>20</v>
      </c>
      <c r="G25" s="19" t="s">
        <v>46</v>
      </c>
      <c r="H25" s="20">
        <v>11566</v>
      </c>
      <c r="J25" t="str">
        <v>אילת</v>
      </c>
      <c r="K25" t="str">
        <v>נגן ריל פלייר 1</v>
      </c>
      <c r="L25" t="str">
        <v>בידור</v>
      </c>
      <c r="M25">
        <v>139</v>
      </c>
      <c r="N25">
        <v>5</v>
      </c>
      <c r="P25" t="str">
        <f ca="1"/>
        <v>ראשון לציון</v>
      </c>
      <c r="Q25" t="str">
        <f ca="1"/>
        <v>ווין-זיפ 8</v>
      </c>
      <c r="R25" t="str">
        <f ca="1"/>
        <v>דחיסה</v>
      </c>
      <c r="S25">
        <f ca="1"/>
        <v>199</v>
      </c>
      <c r="T25">
        <f ca="1"/>
        <v>17</v>
      </c>
    </row>
    <row r="26" spans="1:20">
      <c r="A26" s="18" t="s">
        <v>681</v>
      </c>
      <c r="B26" s="19" t="s">
        <v>55</v>
      </c>
      <c r="C26" s="19" t="s">
        <v>68</v>
      </c>
      <c r="D26" s="19" t="s">
        <v>40</v>
      </c>
      <c r="E26" s="19">
        <v>149</v>
      </c>
      <c r="F26" s="19">
        <v>8</v>
      </c>
      <c r="G26" s="19" t="s">
        <v>80</v>
      </c>
      <c r="H26" s="20">
        <v>3567</v>
      </c>
      <c r="J26" t="str">
        <v>אילת</v>
      </c>
      <c r="K26" t="str">
        <v>נגן ריל פלייר 1</v>
      </c>
      <c r="L26" t="str">
        <v>בידור</v>
      </c>
      <c r="M26">
        <v>139</v>
      </c>
      <c r="N26">
        <v>24</v>
      </c>
      <c r="P26" t="str">
        <f ca="1"/>
        <v>ראשון לציון</v>
      </c>
      <c r="Q26" t="str">
        <f ca="1"/>
        <v>פיירוול 1</v>
      </c>
      <c r="R26" t="str">
        <f ca="1"/>
        <v>אבטחה</v>
      </c>
      <c r="S26">
        <f ca="1"/>
        <v>229</v>
      </c>
      <c r="T26">
        <f ca="1"/>
        <v>29</v>
      </c>
    </row>
    <row r="27" spans="1:20">
      <c r="A27" s="18" t="s">
        <v>682</v>
      </c>
      <c r="B27" s="19" t="s">
        <v>55</v>
      </c>
      <c r="C27" s="19" t="s">
        <v>47</v>
      </c>
      <c r="D27" s="19" t="s">
        <v>30</v>
      </c>
      <c r="E27" s="19">
        <v>99</v>
      </c>
      <c r="F27" s="19">
        <v>26</v>
      </c>
      <c r="G27" s="19" t="s">
        <v>66</v>
      </c>
      <c r="H27" s="20">
        <v>6812</v>
      </c>
      <c r="J27" t="str">
        <v>אילת</v>
      </c>
      <c r="K27" t="str">
        <v>נגן ריל פלייר 1</v>
      </c>
      <c r="L27" t="str">
        <v>בידור</v>
      </c>
      <c r="M27">
        <v>139</v>
      </c>
      <c r="N27">
        <v>6</v>
      </c>
      <c r="P27" t="str">
        <f ca="1"/>
        <v>ירושלים</v>
      </c>
      <c r="Q27" t="str">
        <f ca="1"/>
        <v>נורטון</v>
      </c>
      <c r="R27" t="str">
        <f ca="1"/>
        <v>אנטיוירוס</v>
      </c>
      <c r="S27">
        <f ca="1"/>
        <v>629</v>
      </c>
      <c r="T27">
        <f ca="1"/>
        <v>12</v>
      </c>
    </row>
    <row r="28" spans="1:20">
      <c r="A28" s="18" t="s">
        <v>683</v>
      </c>
      <c r="B28" s="19" t="s">
        <v>38</v>
      </c>
      <c r="C28" s="19" t="s">
        <v>65</v>
      </c>
      <c r="D28" s="19" t="s">
        <v>58</v>
      </c>
      <c r="E28" s="19">
        <v>399</v>
      </c>
      <c r="F28" s="19">
        <v>4</v>
      </c>
      <c r="G28" s="19" t="s">
        <v>64</v>
      </c>
      <c r="H28" s="20">
        <v>2865</v>
      </c>
      <c r="J28" t="str">
        <v>אילת</v>
      </c>
      <c r="K28" t="str">
        <v>נגן ריל פלייר 1</v>
      </c>
      <c r="L28" t="str">
        <v>בידור</v>
      </c>
      <c r="M28">
        <v>139</v>
      </c>
      <c r="N28">
        <v>10</v>
      </c>
      <c r="P28" t="str">
        <f ca="1"/>
        <v>מכבים</v>
      </c>
      <c r="Q28" t="str">
        <f ca="1"/>
        <v>אקסס</v>
      </c>
      <c r="R28" t="str">
        <f ca="1"/>
        <v>משרדית</v>
      </c>
      <c r="S28">
        <f ca="1"/>
        <v>95</v>
      </c>
      <c r="T28">
        <f ca="1"/>
        <v>26</v>
      </c>
    </row>
    <row r="29" spans="1:20">
      <c r="A29" s="18" t="s">
        <v>683</v>
      </c>
      <c r="B29" s="19" t="s">
        <v>67</v>
      </c>
      <c r="C29" s="19" t="s">
        <v>57</v>
      </c>
      <c r="D29" s="19" t="s">
        <v>58</v>
      </c>
      <c r="E29" s="19">
        <v>175</v>
      </c>
      <c r="F29" s="19">
        <v>32</v>
      </c>
      <c r="G29" s="19" t="s">
        <v>78</v>
      </c>
      <c r="H29" s="20">
        <v>12324</v>
      </c>
      <c r="J29" t="str">
        <v>אילת</v>
      </c>
      <c r="K29" t="str">
        <v>נגן ריל פלייר 1</v>
      </c>
      <c r="L29" t="str">
        <v>בידור</v>
      </c>
      <c r="M29">
        <v>139</v>
      </c>
      <c r="N29">
        <v>9</v>
      </c>
      <c r="P29" t="str">
        <f ca="1"/>
        <v>תל אביב</v>
      </c>
      <c r="Q29" t="str">
        <f ca="1"/>
        <v>פגפ</v>
      </c>
      <c r="R29" t="str">
        <f ca="1"/>
        <v>אבטחה</v>
      </c>
      <c r="S29">
        <f ca="1"/>
        <v>299</v>
      </c>
      <c r="T29">
        <f ca="1"/>
        <v>31</v>
      </c>
    </row>
    <row r="30" spans="1:20">
      <c r="A30" s="18" t="s">
        <v>684</v>
      </c>
      <c r="B30" s="19" t="s">
        <v>55</v>
      </c>
      <c r="C30" s="19" t="s">
        <v>44</v>
      </c>
      <c r="D30" s="19" t="s">
        <v>45</v>
      </c>
      <c r="E30" s="19">
        <v>99</v>
      </c>
      <c r="F30" s="19">
        <v>26</v>
      </c>
      <c r="G30" s="19" t="s">
        <v>56</v>
      </c>
      <c r="H30" s="20">
        <v>16434</v>
      </c>
      <c r="J30" t="str">
        <v>אילת</v>
      </c>
      <c r="K30" t="str">
        <v>נגן ריל פלייר 1</v>
      </c>
      <c r="L30" t="str">
        <v>בידור</v>
      </c>
      <c r="M30">
        <v>139</v>
      </c>
      <c r="N30">
        <v>16</v>
      </c>
      <c r="P30" t="str">
        <f ca="1"/>
        <v>ירושלים</v>
      </c>
      <c r="Q30" t="str">
        <f ca="1"/>
        <v>פאוור פוינט</v>
      </c>
      <c r="R30" t="str">
        <f ca="1"/>
        <v>מצגות</v>
      </c>
      <c r="S30">
        <f ca="1"/>
        <v>175</v>
      </c>
      <c r="T30">
        <f ca="1"/>
        <v>6</v>
      </c>
    </row>
    <row r="31" spans="1:20">
      <c r="A31" s="18" t="s">
        <v>685</v>
      </c>
      <c r="B31" s="19" t="s">
        <v>49</v>
      </c>
      <c r="C31" s="19" t="s">
        <v>50</v>
      </c>
      <c r="D31" s="19" t="s">
        <v>51</v>
      </c>
      <c r="E31" s="19">
        <v>139</v>
      </c>
      <c r="F31" s="19">
        <v>9</v>
      </c>
      <c r="G31" s="19" t="s">
        <v>52</v>
      </c>
      <c r="H31" s="20">
        <v>16233</v>
      </c>
      <c r="J31" t="str">
        <v>אילת</v>
      </c>
      <c r="K31" t="str">
        <v>סוליטיר</v>
      </c>
      <c r="L31" t="str">
        <v>בידור</v>
      </c>
      <c r="M31">
        <v>119</v>
      </c>
      <c r="N31">
        <v>6</v>
      </c>
      <c r="P31" t="str">
        <f ca="1"/>
        <v>מכבים</v>
      </c>
      <c r="Q31" t="str">
        <f ca="1"/>
        <v>קורל דרו</v>
      </c>
      <c r="R31" t="str">
        <f ca="1"/>
        <v>שרטוט</v>
      </c>
      <c r="S31">
        <f ca="1"/>
        <v>280</v>
      </c>
      <c r="T31">
        <f ca="1"/>
        <v>25</v>
      </c>
    </row>
    <row r="32" spans="1:20">
      <c r="A32" s="18" t="s">
        <v>685</v>
      </c>
      <c r="B32" s="19" t="s">
        <v>67</v>
      </c>
      <c r="C32" s="19" t="s">
        <v>50</v>
      </c>
      <c r="D32" s="19" t="s">
        <v>51</v>
      </c>
      <c r="E32" s="19">
        <v>139</v>
      </c>
      <c r="F32" s="19">
        <v>5</v>
      </c>
      <c r="G32" s="19" t="s">
        <v>69</v>
      </c>
      <c r="H32" s="20">
        <v>18056</v>
      </c>
      <c r="J32" t="str">
        <v>אילת</v>
      </c>
      <c r="K32" t="str">
        <v>סוליטיר</v>
      </c>
      <c r="L32" t="str">
        <v>בידור</v>
      </c>
      <c r="M32">
        <v>119</v>
      </c>
      <c r="N32">
        <v>27</v>
      </c>
      <c r="P32" t="str">
        <f ca="1"/>
        <v>תל אביב</v>
      </c>
      <c r="Q32" t="str">
        <f ca="1"/>
        <v>ווין-זיפ 8</v>
      </c>
      <c r="R32" t="str">
        <f ca="1"/>
        <v>דחיסה</v>
      </c>
      <c r="S32">
        <f ca="1"/>
        <v>199</v>
      </c>
      <c r="T32">
        <f ca="1"/>
        <v>33</v>
      </c>
    </row>
    <row r="33" spans="1:20">
      <c r="A33" s="18" t="s">
        <v>686</v>
      </c>
      <c r="B33" s="19" t="s">
        <v>67</v>
      </c>
      <c r="C33" s="19" t="s">
        <v>39</v>
      </c>
      <c r="D33" s="19" t="s">
        <v>40</v>
      </c>
      <c r="E33" s="19">
        <v>299</v>
      </c>
      <c r="F33" s="19">
        <v>1</v>
      </c>
      <c r="G33" s="19" t="s">
        <v>69</v>
      </c>
      <c r="H33" s="20">
        <v>13732</v>
      </c>
      <c r="J33" t="str">
        <v>אילת</v>
      </c>
      <c r="K33" t="str">
        <v>ווין-זיפ 8</v>
      </c>
      <c r="L33" t="str">
        <v>דחיסה</v>
      </c>
      <c r="M33">
        <v>199</v>
      </c>
      <c r="N33">
        <v>7</v>
      </c>
      <c r="P33" t="str">
        <f ca="1"/>
        <v>חיפה</v>
      </c>
      <c r="Q33" t="str">
        <f ca="1"/>
        <v>נגן ריל פלייר 1</v>
      </c>
      <c r="R33" t="str">
        <f ca="1"/>
        <v>בידור</v>
      </c>
      <c r="S33">
        <f ca="1"/>
        <v>139</v>
      </c>
      <c r="T33">
        <f ca="1"/>
        <v>30</v>
      </c>
    </row>
    <row r="34" spans="1:20">
      <c r="A34" s="18" t="s">
        <v>687</v>
      </c>
      <c r="B34" s="19" t="s">
        <v>67</v>
      </c>
      <c r="C34" s="19" t="s">
        <v>75</v>
      </c>
      <c r="D34" s="19" t="s">
        <v>30</v>
      </c>
      <c r="E34" s="19">
        <v>350</v>
      </c>
      <c r="F34" s="19">
        <v>3</v>
      </c>
      <c r="G34" s="19" t="s">
        <v>69</v>
      </c>
      <c r="H34" s="20">
        <v>7256</v>
      </c>
      <c r="J34" t="str">
        <v>אילת</v>
      </c>
      <c r="K34" t="str">
        <v>זיפ-יט</v>
      </c>
      <c r="L34" t="str">
        <v>דחיסה</v>
      </c>
      <c r="M34">
        <v>99</v>
      </c>
      <c r="N34">
        <v>17</v>
      </c>
      <c r="P34" t="str">
        <f ca="1"/>
        <v>חיפה</v>
      </c>
      <c r="Q34" t="str">
        <f ca="1"/>
        <v>פאוור פוינט</v>
      </c>
      <c r="R34" t="str">
        <f ca="1"/>
        <v>מצגות</v>
      </c>
      <c r="S34">
        <f ca="1"/>
        <v>175</v>
      </c>
      <c r="T34">
        <f ca="1"/>
        <v>12</v>
      </c>
    </row>
    <row r="35" spans="1:20">
      <c r="A35" s="18" t="s">
        <v>687</v>
      </c>
      <c r="B35" s="19" t="s">
        <v>49</v>
      </c>
      <c r="C35" s="19" t="s">
        <v>50</v>
      </c>
      <c r="D35" s="19" t="s">
        <v>51</v>
      </c>
      <c r="E35" s="19">
        <v>139</v>
      </c>
      <c r="F35" s="19">
        <v>31</v>
      </c>
      <c r="G35" s="19" t="s">
        <v>54</v>
      </c>
      <c r="H35" s="20">
        <v>6496</v>
      </c>
      <c r="J35" t="str">
        <v>אילת</v>
      </c>
      <c r="K35" t="str">
        <v>זיפ-יט</v>
      </c>
      <c r="L35" t="str">
        <v>דחיסה</v>
      </c>
      <c r="M35">
        <v>99</v>
      </c>
      <c r="N35">
        <v>28</v>
      </c>
      <c r="P35" t="str">
        <f ca="1"/>
        <v>תל אביב</v>
      </c>
      <c r="Q35" t="str">
        <f ca="1"/>
        <v>וורד</v>
      </c>
      <c r="R35" t="str">
        <f ca="1"/>
        <v>משרדית</v>
      </c>
      <c r="S35">
        <f ca="1"/>
        <v>350</v>
      </c>
      <c r="T35">
        <f ca="1"/>
        <v>14</v>
      </c>
    </row>
    <row r="36" spans="1:20">
      <c r="A36" s="18">
        <v>44959</v>
      </c>
      <c r="B36" s="19" t="s">
        <v>28</v>
      </c>
      <c r="C36" s="19" t="s">
        <v>42</v>
      </c>
      <c r="D36" s="19" t="s">
        <v>30</v>
      </c>
      <c r="E36" s="19">
        <v>59</v>
      </c>
      <c r="F36" s="19">
        <v>21</v>
      </c>
      <c r="G36" s="21" t="s">
        <v>36</v>
      </c>
      <c r="H36" s="20">
        <v>6811</v>
      </c>
      <c r="J36" t="str">
        <v>אילת</v>
      </c>
      <c r="K36" t="str">
        <v>זיפ-יט</v>
      </c>
      <c r="L36" t="str">
        <v>דחיסה</v>
      </c>
      <c r="M36">
        <v>99</v>
      </c>
      <c r="N36">
        <v>2</v>
      </c>
      <c r="P36" t="str">
        <f ca="1"/>
        <v>תל אביב</v>
      </c>
      <c r="Q36" t="str">
        <f ca="1"/>
        <v>אסטאונד</v>
      </c>
      <c r="R36" t="str">
        <f ca="1"/>
        <v>מצגות</v>
      </c>
      <c r="S36">
        <f ca="1"/>
        <v>399</v>
      </c>
      <c r="T36">
        <f ca="1"/>
        <v>16</v>
      </c>
    </row>
    <row r="37" spans="1:20">
      <c r="A37" s="18">
        <v>44987</v>
      </c>
      <c r="B37" s="19" t="s">
        <v>55</v>
      </c>
      <c r="C37" s="19" t="s">
        <v>39</v>
      </c>
      <c r="D37" s="19" t="s">
        <v>40</v>
      </c>
      <c r="E37" s="19">
        <v>299</v>
      </c>
      <c r="F37" s="19">
        <v>16</v>
      </c>
      <c r="G37" s="19" t="s">
        <v>56</v>
      </c>
      <c r="H37" s="20">
        <v>3094</v>
      </c>
      <c r="J37" t="str">
        <v>אילת</v>
      </c>
      <c r="K37" t="str">
        <v>אסטאונד</v>
      </c>
      <c r="L37" t="str">
        <v>מצגות</v>
      </c>
      <c r="M37">
        <v>399</v>
      </c>
      <c r="N37">
        <v>30</v>
      </c>
      <c r="P37" t="str">
        <f ca="1"/>
        <v>אילת</v>
      </c>
      <c r="Q37" t="str">
        <f ca="1"/>
        <v>פגפ</v>
      </c>
      <c r="R37" t="str">
        <f ca="1"/>
        <v>אבטחה</v>
      </c>
      <c r="S37">
        <f ca="1"/>
        <v>299</v>
      </c>
      <c r="T37">
        <f ca="1"/>
        <v>29</v>
      </c>
    </row>
    <row r="38" spans="1:20">
      <c r="A38" s="18">
        <v>44987</v>
      </c>
      <c r="B38" s="19" t="s">
        <v>55</v>
      </c>
      <c r="C38" s="19" t="s">
        <v>47</v>
      </c>
      <c r="D38" s="19" t="s">
        <v>30</v>
      </c>
      <c r="E38" s="19">
        <v>99</v>
      </c>
      <c r="F38" s="19">
        <v>10</v>
      </c>
      <c r="G38" s="19" t="s">
        <v>80</v>
      </c>
      <c r="H38" s="20">
        <v>1469</v>
      </c>
      <c r="J38" t="str">
        <v>אילת</v>
      </c>
      <c r="K38" t="str">
        <v>אסטאונד</v>
      </c>
      <c r="L38" t="str">
        <v>מצגות</v>
      </c>
      <c r="M38">
        <v>399</v>
      </c>
      <c r="N38">
        <v>32</v>
      </c>
      <c r="P38" t="str">
        <f ca="1"/>
        <v>תל אביב</v>
      </c>
      <c r="Q38" t="str">
        <f ca="1"/>
        <v>נורטון</v>
      </c>
      <c r="R38" t="str">
        <f ca="1"/>
        <v>אנטיוירוס</v>
      </c>
      <c r="S38">
        <f ca="1"/>
        <v>629</v>
      </c>
      <c r="T38">
        <f ca="1"/>
        <v>13</v>
      </c>
    </row>
    <row r="39" spans="1:20">
      <c r="A39" s="18">
        <v>45018</v>
      </c>
      <c r="B39" s="19" t="s">
        <v>81</v>
      </c>
      <c r="C39" s="19" t="s">
        <v>42</v>
      </c>
      <c r="D39" s="19" t="s">
        <v>30</v>
      </c>
      <c r="E39" s="19">
        <v>59</v>
      </c>
      <c r="F39" s="19">
        <v>28</v>
      </c>
      <c r="G39" s="19" t="s">
        <v>82</v>
      </c>
      <c r="H39" s="20">
        <v>4723</v>
      </c>
      <c r="J39" t="str">
        <v>אילת</v>
      </c>
      <c r="K39" t="str">
        <v>פאוור פוינט</v>
      </c>
      <c r="L39" t="str">
        <v>מצגות</v>
      </c>
      <c r="M39">
        <v>175</v>
      </c>
      <c r="N39">
        <v>32</v>
      </c>
      <c r="P39" t="str">
        <f ca="1"/>
        <v>ראשון לציון</v>
      </c>
      <c r="Q39" t="str">
        <f ca="1"/>
        <v>נורטון</v>
      </c>
      <c r="R39" t="str">
        <f ca="1"/>
        <v>אנטיוירוס</v>
      </c>
      <c r="S39">
        <f ca="1"/>
        <v>629</v>
      </c>
      <c r="T39">
        <f ca="1"/>
        <v>26</v>
      </c>
    </row>
    <row r="40" spans="1:20">
      <c r="A40" s="18">
        <v>45018</v>
      </c>
      <c r="B40" s="19" t="s">
        <v>55</v>
      </c>
      <c r="C40" s="19" t="s">
        <v>29</v>
      </c>
      <c r="D40" s="19" t="s">
        <v>30</v>
      </c>
      <c r="E40" s="19">
        <v>899</v>
      </c>
      <c r="F40" s="19">
        <v>20</v>
      </c>
      <c r="G40" s="19" t="s">
        <v>66</v>
      </c>
      <c r="H40" s="20">
        <v>5510</v>
      </c>
      <c r="J40" t="str">
        <v>אילת</v>
      </c>
      <c r="K40" t="str">
        <v>פאוור פוינט</v>
      </c>
      <c r="L40" t="str">
        <v>מצגות</v>
      </c>
      <c r="M40">
        <v>175</v>
      </c>
      <c r="N40">
        <v>23</v>
      </c>
      <c r="P40" t="str">
        <f ca="1"/>
        <v>מכבים</v>
      </c>
      <c r="Q40" t="str">
        <f ca="1"/>
        <v>ווין-זיפ 8</v>
      </c>
      <c r="R40" t="str">
        <f ca="1"/>
        <v>דחיסה</v>
      </c>
      <c r="S40">
        <f ca="1"/>
        <v>199</v>
      </c>
      <c r="T40">
        <f ca="1"/>
        <v>29</v>
      </c>
    </row>
    <row r="41" spans="1:20">
      <c r="A41" s="18">
        <v>45018</v>
      </c>
      <c r="B41" s="19" t="s">
        <v>67</v>
      </c>
      <c r="C41" s="19" t="s">
        <v>50</v>
      </c>
      <c r="D41" s="19" t="s">
        <v>51</v>
      </c>
      <c r="E41" s="19">
        <v>139</v>
      </c>
      <c r="F41" s="19">
        <v>24</v>
      </c>
      <c r="G41" s="19" t="s">
        <v>69</v>
      </c>
      <c r="H41" s="20">
        <v>7769</v>
      </c>
      <c r="J41" t="str">
        <v>אילת</v>
      </c>
      <c r="K41" t="str">
        <v>פאוור פוינט</v>
      </c>
      <c r="L41" t="str">
        <v>מצגות</v>
      </c>
      <c r="M41">
        <v>175</v>
      </c>
      <c r="N41">
        <v>25</v>
      </c>
      <c r="P41" t="str">
        <f ca="1"/>
        <v>ראשון לציון</v>
      </c>
      <c r="Q41" t="str">
        <f ca="1"/>
        <v>סוליטיר</v>
      </c>
      <c r="R41" t="str">
        <f ca="1"/>
        <v>בידור</v>
      </c>
      <c r="S41">
        <f ca="1"/>
        <v>119</v>
      </c>
      <c r="T41">
        <f ca="1"/>
        <v>6</v>
      </c>
    </row>
    <row r="42" spans="1:20">
      <c r="A42" s="18">
        <v>45018</v>
      </c>
      <c r="B42" s="19" t="s">
        <v>55</v>
      </c>
      <c r="C42" s="19" t="s">
        <v>85</v>
      </c>
      <c r="D42" s="19" t="s">
        <v>51</v>
      </c>
      <c r="E42" s="19">
        <v>75</v>
      </c>
      <c r="F42" s="19">
        <v>23</v>
      </c>
      <c r="G42" s="19" t="s">
        <v>80</v>
      </c>
      <c r="H42" s="20">
        <v>9248</v>
      </c>
      <c r="J42" t="str">
        <v>אילת</v>
      </c>
      <c r="K42" t="str">
        <v>פאוור פוינט</v>
      </c>
      <c r="L42" t="str">
        <v>מצגות</v>
      </c>
      <c r="M42">
        <v>175</v>
      </c>
      <c r="N42">
        <v>28</v>
      </c>
      <c r="P42" t="str">
        <f ca="1"/>
        <v>מכבים</v>
      </c>
      <c r="Q42" t="str">
        <f ca="1"/>
        <v>זיפ-יט</v>
      </c>
      <c r="R42" t="str">
        <f ca="1"/>
        <v>דחיסה</v>
      </c>
      <c r="S42">
        <f ca="1"/>
        <v>99</v>
      </c>
      <c r="T42">
        <f ca="1"/>
        <v>32</v>
      </c>
    </row>
    <row r="43" spans="1:20">
      <c r="A43" s="18">
        <v>45018</v>
      </c>
      <c r="B43" s="19" t="s">
        <v>49</v>
      </c>
      <c r="C43" s="19" t="s">
        <v>32</v>
      </c>
      <c r="D43" s="19" t="s">
        <v>33</v>
      </c>
      <c r="E43" s="19">
        <v>499</v>
      </c>
      <c r="F43" s="19">
        <v>19</v>
      </c>
      <c r="G43" s="19" t="s">
        <v>54</v>
      </c>
      <c r="H43" s="20">
        <v>9189</v>
      </c>
      <c r="J43" t="str">
        <v>אילת</v>
      </c>
      <c r="K43" t="str">
        <v>פאוור פוינט</v>
      </c>
      <c r="L43" t="str">
        <v>מצגות</v>
      </c>
      <c r="M43">
        <v>175</v>
      </c>
      <c r="N43">
        <v>21</v>
      </c>
      <c r="P43" t="str">
        <f ca="1"/>
        <v>חיפה</v>
      </c>
      <c r="Q43" t="str">
        <f ca="1"/>
        <v>ווין-זיפ 8</v>
      </c>
      <c r="R43" t="str">
        <f ca="1"/>
        <v>דחיסה</v>
      </c>
      <c r="S43">
        <f ca="1"/>
        <v>199</v>
      </c>
      <c r="T43">
        <f ca="1"/>
        <v>23</v>
      </c>
    </row>
    <row r="44" spans="1:20">
      <c r="A44" s="18">
        <v>45048</v>
      </c>
      <c r="B44" s="19" t="s">
        <v>28</v>
      </c>
      <c r="C44" s="19" t="s">
        <v>29</v>
      </c>
      <c r="D44" s="19" t="s">
        <v>30</v>
      </c>
      <c r="E44" s="19">
        <v>899</v>
      </c>
      <c r="F44" s="19">
        <v>3</v>
      </c>
      <c r="G44" s="19" t="s">
        <v>31</v>
      </c>
      <c r="H44" s="20">
        <v>14799</v>
      </c>
      <c r="J44" t="str">
        <v>אילת</v>
      </c>
      <c r="K44" t="str">
        <v>פאוור פוינט</v>
      </c>
      <c r="L44" t="str">
        <v>מצגות</v>
      </c>
      <c r="M44">
        <v>175</v>
      </c>
      <c r="N44">
        <v>6</v>
      </c>
      <c r="P44" t="str">
        <f ca="1"/>
        <v>ראשון לציון</v>
      </c>
      <c r="Q44" t="str">
        <f ca="1"/>
        <v>בבילון</v>
      </c>
      <c r="R44" t="str">
        <f ca="1"/>
        <v>משרדית</v>
      </c>
      <c r="S44">
        <f ca="1"/>
        <v>99</v>
      </c>
      <c r="T44">
        <f ca="1"/>
        <v>14</v>
      </c>
    </row>
    <row r="45" spans="1:20">
      <c r="A45" s="18">
        <v>45048</v>
      </c>
      <c r="B45" s="19" t="s">
        <v>38</v>
      </c>
      <c r="C45" s="19" t="s">
        <v>62</v>
      </c>
      <c r="D45" s="19" t="s">
        <v>33</v>
      </c>
      <c r="E45" s="19">
        <v>629</v>
      </c>
      <c r="F45" s="19">
        <v>16</v>
      </c>
      <c r="G45" s="19" t="s">
        <v>63</v>
      </c>
      <c r="H45" s="20">
        <v>13516</v>
      </c>
      <c r="J45" t="str">
        <v>אילת</v>
      </c>
      <c r="K45" t="str">
        <v>פאוור פוינט</v>
      </c>
      <c r="L45" t="str">
        <v>מצגות</v>
      </c>
      <c r="M45">
        <v>175</v>
      </c>
      <c r="N45">
        <v>13</v>
      </c>
      <c r="P45" t="str">
        <f ca="1"/>
        <v>תל אביב</v>
      </c>
      <c r="Q45" t="str">
        <f ca="1"/>
        <v>סוליטיר</v>
      </c>
      <c r="R45" t="str">
        <f ca="1"/>
        <v>בידור</v>
      </c>
      <c r="S45">
        <f ca="1"/>
        <v>119</v>
      </c>
      <c r="T45">
        <f ca="1"/>
        <v>22</v>
      </c>
    </row>
    <row r="46" spans="1:20">
      <c r="A46" s="18">
        <v>45048</v>
      </c>
      <c r="B46" s="19" t="s">
        <v>28</v>
      </c>
      <c r="C46" s="19" t="s">
        <v>32</v>
      </c>
      <c r="D46" s="19" t="s">
        <v>33</v>
      </c>
      <c r="E46" s="19">
        <v>499</v>
      </c>
      <c r="F46" s="19">
        <v>19</v>
      </c>
      <c r="G46" s="19" t="s">
        <v>34</v>
      </c>
      <c r="H46" s="20">
        <v>19412</v>
      </c>
      <c r="J46" t="str">
        <v>אילת</v>
      </c>
      <c r="K46" t="str">
        <v>אקסס</v>
      </c>
      <c r="L46" t="str">
        <v>משרדית</v>
      </c>
      <c r="M46">
        <v>95</v>
      </c>
      <c r="N46">
        <v>30</v>
      </c>
      <c r="P46" t="str">
        <f ca="1"/>
        <v>אילת</v>
      </c>
      <c r="Q46" t="str">
        <f ca="1"/>
        <v>נגן ריל פלייר 1</v>
      </c>
      <c r="R46" t="str">
        <f ca="1"/>
        <v>בידור</v>
      </c>
      <c r="S46">
        <f ca="1"/>
        <v>139</v>
      </c>
      <c r="T46">
        <f ca="1"/>
        <v>5</v>
      </c>
    </row>
    <row r="47" spans="1:20">
      <c r="A47" s="18">
        <v>45109</v>
      </c>
      <c r="B47" s="19" t="s">
        <v>28</v>
      </c>
      <c r="C47" s="19" t="s">
        <v>32</v>
      </c>
      <c r="D47" s="19" t="s">
        <v>33</v>
      </c>
      <c r="E47" s="19">
        <v>499</v>
      </c>
      <c r="F47" s="19">
        <v>12</v>
      </c>
      <c r="G47" s="19" t="s">
        <v>34</v>
      </c>
      <c r="H47" s="20">
        <v>6754</v>
      </c>
      <c r="J47" t="str">
        <v>אילת</v>
      </c>
      <c r="K47" t="str">
        <v>אקסס</v>
      </c>
      <c r="L47" t="str">
        <v>משרדית</v>
      </c>
      <c r="M47">
        <v>95</v>
      </c>
      <c r="N47">
        <v>16</v>
      </c>
      <c r="P47" t="str">
        <f ca="1"/>
        <v>חיפה</v>
      </c>
      <c r="Q47" t="str">
        <f ca="1"/>
        <v>פרו-פורט</v>
      </c>
      <c r="R47" t="str">
        <f ca="1"/>
        <v>אבטחה</v>
      </c>
      <c r="S47">
        <f ca="1"/>
        <v>149</v>
      </c>
      <c r="T47">
        <f ca="1"/>
        <v>22</v>
      </c>
    </row>
    <row r="48" spans="1:20">
      <c r="A48" s="18">
        <v>45109</v>
      </c>
      <c r="B48" s="19" t="s">
        <v>67</v>
      </c>
      <c r="C48" s="19" t="s">
        <v>44</v>
      </c>
      <c r="D48" s="19" t="s">
        <v>45</v>
      </c>
      <c r="E48" s="19">
        <v>99</v>
      </c>
      <c r="F48" s="19">
        <v>17</v>
      </c>
      <c r="G48" s="19" t="s">
        <v>69</v>
      </c>
      <c r="H48" s="20">
        <v>4875</v>
      </c>
      <c r="J48" t="str">
        <v>אילת</v>
      </c>
      <c r="K48" t="str">
        <v>אקסס</v>
      </c>
      <c r="L48" t="str">
        <v>משרדית</v>
      </c>
      <c r="M48">
        <v>95</v>
      </c>
      <c r="N48">
        <v>2</v>
      </c>
      <c r="P48" t="str">
        <f ca="1"/>
        <v>אילת</v>
      </c>
      <c r="Q48" t="str">
        <f ca="1"/>
        <v>אקסס</v>
      </c>
      <c r="R48" t="str">
        <f ca="1"/>
        <v>משרדית</v>
      </c>
      <c r="S48">
        <f ca="1"/>
        <v>95</v>
      </c>
      <c r="T48">
        <f ca="1"/>
        <v>2</v>
      </c>
    </row>
    <row r="49" spans="1:20">
      <c r="A49" s="18">
        <v>45140</v>
      </c>
      <c r="B49" s="19" t="s">
        <v>81</v>
      </c>
      <c r="C49" s="19" t="s">
        <v>48</v>
      </c>
      <c r="D49" s="19" t="s">
        <v>30</v>
      </c>
      <c r="E49" s="19">
        <v>95</v>
      </c>
      <c r="F49" s="19">
        <v>26</v>
      </c>
      <c r="G49" s="19" t="s">
        <v>82</v>
      </c>
      <c r="H49" s="20">
        <v>13378</v>
      </c>
      <c r="J49" t="str">
        <v>אילת</v>
      </c>
      <c r="K49" t="str">
        <v>אקרובט</v>
      </c>
      <c r="L49" t="str">
        <v>משרדית</v>
      </c>
      <c r="M49">
        <v>599</v>
      </c>
      <c r="N49">
        <v>21</v>
      </c>
      <c r="P49" t="str">
        <f ca="1"/>
        <v>ירושלים</v>
      </c>
      <c r="Q49" t="str">
        <f ca="1"/>
        <v>אקסל</v>
      </c>
      <c r="R49" t="str">
        <f ca="1"/>
        <v>משרדית</v>
      </c>
      <c r="S49">
        <f ca="1"/>
        <v>555</v>
      </c>
      <c r="T49">
        <f ca="1"/>
        <v>26</v>
      </c>
    </row>
    <row r="50" spans="1:20">
      <c r="A50" s="18">
        <v>45140</v>
      </c>
      <c r="B50" s="19" t="s">
        <v>67</v>
      </c>
      <c r="C50" s="19" t="s">
        <v>39</v>
      </c>
      <c r="D50" s="19" t="s">
        <v>40</v>
      </c>
      <c r="E50" s="19">
        <v>299</v>
      </c>
      <c r="F50" s="19">
        <v>6</v>
      </c>
      <c r="G50" s="19" t="s">
        <v>78</v>
      </c>
      <c r="H50" s="20">
        <v>14950</v>
      </c>
      <c r="J50" t="str">
        <v>אילת</v>
      </c>
      <c r="K50" t="str">
        <v>אקרובט</v>
      </c>
      <c r="L50" t="str">
        <v>משרדית</v>
      </c>
      <c r="M50">
        <v>599</v>
      </c>
      <c r="N50">
        <v>15</v>
      </c>
      <c r="P50" t="str">
        <f ca="1"/>
        <v>ירושלים</v>
      </c>
      <c r="Q50" t="str">
        <f ca="1"/>
        <v>אקסל</v>
      </c>
      <c r="R50" t="str">
        <f ca="1"/>
        <v>משרדית</v>
      </c>
      <c r="S50">
        <f ca="1"/>
        <v>555</v>
      </c>
      <c r="T50">
        <f ca="1"/>
        <v>24</v>
      </c>
    </row>
    <row r="51" spans="1:20">
      <c r="A51" s="18">
        <v>45232</v>
      </c>
      <c r="B51" s="19" t="s">
        <v>24</v>
      </c>
      <c r="C51" s="19" t="s">
        <v>39</v>
      </c>
      <c r="D51" s="19" t="s">
        <v>40</v>
      </c>
      <c r="E51" s="19">
        <v>299</v>
      </c>
      <c r="F51" s="19">
        <v>4</v>
      </c>
      <c r="G51" s="19" t="s">
        <v>37</v>
      </c>
      <c r="H51" s="20">
        <v>16281</v>
      </c>
      <c r="J51" t="str">
        <v>אילת</v>
      </c>
      <c r="K51" t="str">
        <v>אקרובט</v>
      </c>
      <c r="L51" t="str">
        <v>משרדית</v>
      </c>
      <c r="M51">
        <v>599</v>
      </c>
      <c r="N51">
        <v>32</v>
      </c>
      <c r="P51" t="str">
        <f ca="1"/>
        <v>חיפה</v>
      </c>
      <c r="Q51" t="str">
        <f ca="1"/>
        <v>פיירוול 1</v>
      </c>
      <c r="R51" t="str">
        <f ca="1"/>
        <v>אבטחה</v>
      </c>
      <c r="S51">
        <f ca="1"/>
        <v>229</v>
      </c>
      <c r="T51">
        <f ca="1"/>
        <v>33</v>
      </c>
    </row>
    <row r="52" spans="1:20">
      <c r="A52" s="18">
        <v>45232</v>
      </c>
      <c r="B52" s="19" t="s">
        <v>49</v>
      </c>
      <c r="C52" s="19" t="s">
        <v>50</v>
      </c>
      <c r="D52" s="19" t="s">
        <v>51</v>
      </c>
      <c r="E52" s="19">
        <v>139</v>
      </c>
      <c r="F52" s="19">
        <v>30</v>
      </c>
      <c r="G52" s="19" t="s">
        <v>52</v>
      </c>
      <c r="H52" s="20">
        <v>18551</v>
      </c>
      <c r="J52" t="str">
        <v>אילת</v>
      </c>
      <c r="K52" t="str">
        <v>בבילון</v>
      </c>
      <c r="L52" t="str">
        <v>משרדית</v>
      </c>
      <c r="M52">
        <v>99</v>
      </c>
      <c r="N52">
        <v>25</v>
      </c>
      <c r="P52" t="str">
        <f ca="1"/>
        <v>תל אביב</v>
      </c>
      <c r="Q52" t="str">
        <f ca="1"/>
        <v>אקסל</v>
      </c>
      <c r="R52" t="str">
        <f ca="1"/>
        <v>משרדית</v>
      </c>
      <c r="S52">
        <f ca="1"/>
        <v>555</v>
      </c>
      <c r="T52">
        <f ca="1"/>
        <v>2</v>
      </c>
    </row>
    <row r="53" spans="1:20">
      <c r="A53" s="18">
        <v>45262</v>
      </c>
      <c r="B53" s="19" t="s">
        <v>67</v>
      </c>
      <c r="C53" s="19" t="s">
        <v>85</v>
      </c>
      <c r="D53" s="19" t="s">
        <v>51</v>
      </c>
      <c r="E53" s="19">
        <v>75</v>
      </c>
      <c r="F53" s="19">
        <v>22</v>
      </c>
      <c r="G53" s="19" t="s">
        <v>78</v>
      </c>
      <c r="H53" s="20">
        <v>15360</v>
      </c>
      <c r="J53" t="str">
        <v>אילת</v>
      </c>
      <c r="K53" t="str">
        <v>בבילון</v>
      </c>
      <c r="L53" t="str">
        <v>משרדית</v>
      </c>
      <c r="M53">
        <v>99</v>
      </c>
      <c r="N53">
        <v>12</v>
      </c>
      <c r="P53" t="str">
        <f ca="1"/>
        <v>ירושלים</v>
      </c>
      <c r="Q53" t="str">
        <f ca="1"/>
        <v>פרו-פורט</v>
      </c>
      <c r="R53" t="str">
        <f ca="1"/>
        <v>אבטחה</v>
      </c>
      <c r="S53">
        <f ca="1"/>
        <v>149</v>
      </c>
      <c r="T53">
        <f ca="1"/>
        <v>6</v>
      </c>
    </row>
    <row r="54" spans="1:20">
      <c r="A54" s="18" t="s">
        <v>688</v>
      </c>
      <c r="B54" s="19" t="s">
        <v>67</v>
      </c>
      <c r="C54" s="19" t="s">
        <v>39</v>
      </c>
      <c r="D54" s="19" t="s">
        <v>40</v>
      </c>
      <c r="E54" s="19">
        <v>299</v>
      </c>
      <c r="F54" s="19">
        <v>18</v>
      </c>
      <c r="G54" s="19" t="s">
        <v>69</v>
      </c>
      <c r="H54" s="20">
        <v>9435</v>
      </c>
      <c r="J54" t="str">
        <v>אילת</v>
      </c>
      <c r="K54" t="str">
        <v>בבילון</v>
      </c>
      <c r="L54" t="str">
        <v>משרדית</v>
      </c>
      <c r="M54">
        <v>99</v>
      </c>
      <c r="N54">
        <v>15</v>
      </c>
      <c r="P54" t="str">
        <f ca="1"/>
        <v>קרית שמונה</v>
      </c>
      <c r="Q54" t="str">
        <f ca="1"/>
        <v>בבילון</v>
      </c>
      <c r="R54" t="str">
        <f ca="1"/>
        <v>משרדית</v>
      </c>
      <c r="S54">
        <f ca="1"/>
        <v>99</v>
      </c>
      <c r="T54">
        <f ca="1"/>
        <v>17</v>
      </c>
    </row>
    <row r="55" spans="1:20">
      <c r="A55" s="18" t="s">
        <v>689</v>
      </c>
      <c r="B55" s="19" t="s">
        <v>38</v>
      </c>
      <c r="C55" s="19" t="s">
        <v>39</v>
      </c>
      <c r="D55" s="19" t="s">
        <v>40</v>
      </c>
      <c r="E55" s="19">
        <v>299</v>
      </c>
      <c r="F55" s="19">
        <v>15</v>
      </c>
      <c r="G55" s="19" t="s">
        <v>63</v>
      </c>
      <c r="H55" s="20">
        <v>10031</v>
      </c>
      <c r="J55" t="str">
        <v>אילת</v>
      </c>
      <c r="K55" t="str">
        <v>בבילון</v>
      </c>
      <c r="L55" t="str">
        <v>משרדית</v>
      </c>
      <c r="M55">
        <v>99</v>
      </c>
      <c r="N55">
        <v>19</v>
      </c>
      <c r="P55" t="str">
        <f ca="1"/>
        <v>ראשון לציון</v>
      </c>
      <c r="Q55" t="str">
        <f ca="1"/>
        <v>פאוור פוינט</v>
      </c>
      <c r="R55" t="str">
        <f ca="1"/>
        <v>מצגות</v>
      </c>
      <c r="S55">
        <f ca="1"/>
        <v>175</v>
      </c>
      <c r="T55">
        <f ca="1"/>
        <v>33</v>
      </c>
    </row>
    <row r="56" spans="1:20">
      <c r="A56" s="18" t="s">
        <v>690</v>
      </c>
      <c r="B56" s="19" t="s">
        <v>81</v>
      </c>
      <c r="C56" s="19" t="s">
        <v>62</v>
      </c>
      <c r="D56" s="19" t="s">
        <v>33</v>
      </c>
      <c r="E56" s="19">
        <v>629</v>
      </c>
      <c r="F56" s="19">
        <v>5</v>
      </c>
      <c r="G56" s="19" t="s">
        <v>82</v>
      </c>
      <c r="H56" s="20">
        <v>3892</v>
      </c>
      <c r="J56" t="str">
        <v>אילת</v>
      </c>
      <c r="K56" t="str">
        <v>וורד</v>
      </c>
      <c r="L56" t="str">
        <v>משרדית</v>
      </c>
      <c r="M56">
        <v>350</v>
      </c>
      <c r="N56">
        <v>3</v>
      </c>
      <c r="P56" t="str">
        <f ca="1"/>
        <v>אילת</v>
      </c>
      <c r="Q56" t="str">
        <f ca="1"/>
        <v>נורטון</v>
      </c>
      <c r="R56" t="str">
        <f ca="1"/>
        <v>אנטיוירוס</v>
      </c>
      <c r="S56">
        <f ca="1"/>
        <v>629</v>
      </c>
      <c r="T56">
        <f ca="1"/>
        <v>22</v>
      </c>
    </row>
    <row r="57" spans="1:20">
      <c r="A57" s="18" t="s">
        <v>690</v>
      </c>
      <c r="B57" s="19" t="s">
        <v>67</v>
      </c>
      <c r="C57" s="19" t="s">
        <v>65</v>
      </c>
      <c r="D57" s="19" t="s">
        <v>58</v>
      </c>
      <c r="E57" s="19">
        <v>399</v>
      </c>
      <c r="F57" s="19">
        <v>30</v>
      </c>
      <c r="G57" s="19" t="s">
        <v>78</v>
      </c>
      <c r="H57" s="20">
        <v>3849</v>
      </c>
      <c r="J57" t="str">
        <v>אילת</v>
      </c>
      <c r="K57" t="str">
        <v>וורד</v>
      </c>
      <c r="L57" t="str">
        <v>משרדית</v>
      </c>
      <c r="M57">
        <v>350</v>
      </c>
      <c r="N57">
        <v>10</v>
      </c>
      <c r="P57" t="str">
        <f ca="1"/>
        <v>ירושלים</v>
      </c>
      <c r="Q57" t="str">
        <f ca="1"/>
        <v>פאוור פוינט</v>
      </c>
      <c r="R57" t="str">
        <f ca="1"/>
        <v>מצגות</v>
      </c>
      <c r="S57">
        <f ca="1"/>
        <v>175</v>
      </c>
      <c r="T57">
        <f ca="1"/>
        <v>16</v>
      </c>
    </row>
    <row r="58" spans="1:20">
      <c r="A58" s="18" t="s">
        <v>691</v>
      </c>
      <c r="B58" s="19" t="s">
        <v>49</v>
      </c>
      <c r="C58" s="19" t="s">
        <v>25</v>
      </c>
      <c r="D58" s="19" t="s">
        <v>26</v>
      </c>
      <c r="E58" s="19">
        <v>280</v>
      </c>
      <c r="F58" s="19">
        <v>17</v>
      </c>
      <c r="G58" s="19" t="s">
        <v>52</v>
      </c>
      <c r="H58" s="20">
        <v>14569</v>
      </c>
      <c r="J58" t="str">
        <v>אילת</v>
      </c>
      <c r="K58" t="str">
        <v>יודורה</v>
      </c>
      <c r="L58" t="str">
        <v>משרדית</v>
      </c>
      <c r="M58">
        <v>59</v>
      </c>
      <c r="N58">
        <v>15</v>
      </c>
      <c r="P58" t="str">
        <f ca="1"/>
        <v>תל אביב</v>
      </c>
      <c r="Q58" t="str">
        <f ca="1"/>
        <v>יודורה</v>
      </c>
      <c r="R58" t="str">
        <f ca="1"/>
        <v>משרדית</v>
      </c>
      <c r="S58">
        <f ca="1"/>
        <v>59</v>
      </c>
      <c r="T58">
        <f ca="1"/>
        <v>23</v>
      </c>
    </row>
    <row r="59" spans="1:20">
      <c r="A59" s="18" t="s">
        <v>692</v>
      </c>
      <c r="B59" s="19" t="s">
        <v>55</v>
      </c>
      <c r="C59" s="19" t="s">
        <v>25</v>
      </c>
      <c r="D59" s="19" t="s">
        <v>26</v>
      </c>
      <c r="E59" s="19">
        <v>280</v>
      </c>
      <c r="F59" s="19">
        <v>32</v>
      </c>
      <c r="G59" s="19" t="s">
        <v>66</v>
      </c>
      <c r="H59" s="20">
        <v>10394</v>
      </c>
      <c r="J59" t="str">
        <v>אילת</v>
      </c>
      <c r="K59" t="str">
        <v>יודורה</v>
      </c>
      <c r="L59" t="str">
        <v>משרדית</v>
      </c>
      <c r="M59">
        <v>59</v>
      </c>
      <c r="N59">
        <v>7</v>
      </c>
      <c r="P59" t="str">
        <f ca="1"/>
        <v>קרית שמונה</v>
      </c>
      <c r="Q59" t="str">
        <f ca="1"/>
        <v>פאוור פוינט</v>
      </c>
      <c r="R59" t="str">
        <f ca="1"/>
        <v>מצגות</v>
      </c>
      <c r="S59">
        <f ca="1"/>
        <v>175</v>
      </c>
      <c r="T59">
        <f ca="1"/>
        <v>33</v>
      </c>
    </row>
    <row r="60" spans="1:20">
      <c r="A60" s="18" t="s">
        <v>692</v>
      </c>
      <c r="B60" s="19" t="s">
        <v>24</v>
      </c>
      <c r="C60" s="19" t="s">
        <v>85</v>
      </c>
      <c r="D60" s="19" t="s">
        <v>51</v>
      </c>
      <c r="E60" s="19">
        <v>75</v>
      </c>
      <c r="F60" s="19">
        <v>23</v>
      </c>
      <c r="G60" s="19" t="s">
        <v>87</v>
      </c>
      <c r="H60" s="20">
        <v>15410</v>
      </c>
      <c r="J60" t="str">
        <v>אילת</v>
      </c>
      <c r="K60" t="str">
        <v>פנל תמיכת החלטות</v>
      </c>
      <c r="L60" t="str">
        <v>משרדית</v>
      </c>
      <c r="M60">
        <v>899</v>
      </c>
      <c r="N60">
        <v>31</v>
      </c>
      <c r="P60" t="str">
        <f ca="1"/>
        <v>ראשון לציון</v>
      </c>
      <c r="Q60" t="str">
        <f ca="1"/>
        <v>פגפ</v>
      </c>
      <c r="R60" t="str">
        <f ca="1"/>
        <v>אבטחה</v>
      </c>
      <c r="S60">
        <f ca="1"/>
        <v>299</v>
      </c>
      <c r="T60">
        <f ca="1"/>
        <v>22</v>
      </c>
    </row>
    <row r="61" spans="1:20">
      <c r="A61" s="18" t="s">
        <v>692</v>
      </c>
      <c r="B61" s="19" t="s">
        <v>24</v>
      </c>
      <c r="C61" s="19" t="s">
        <v>85</v>
      </c>
      <c r="D61" s="19" t="s">
        <v>51</v>
      </c>
      <c r="E61" s="19">
        <v>75</v>
      </c>
      <c r="F61" s="19">
        <v>9</v>
      </c>
      <c r="G61" s="19" t="s">
        <v>27</v>
      </c>
      <c r="H61" s="20">
        <v>5842</v>
      </c>
      <c r="J61" t="str">
        <v>אילת</v>
      </c>
      <c r="K61" t="str">
        <v>פנל תמיכת החלטות</v>
      </c>
      <c r="L61" t="str">
        <v>משרדית</v>
      </c>
      <c r="M61">
        <v>899</v>
      </c>
      <c r="N61">
        <v>17</v>
      </c>
      <c r="P61" t="str">
        <f ca="1"/>
        <v>אילת</v>
      </c>
      <c r="Q61" t="str">
        <f ca="1"/>
        <v>נגן ריל פלייר 1</v>
      </c>
      <c r="R61" t="str">
        <f ca="1"/>
        <v>בידור</v>
      </c>
      <c r="S61">
        <f ca="1"/>
        <v>139</v>
      </c>
      <c r="T61">
        <f ca="1"/>
        <v>20</v>
      </c>
    </row>
    <row r="62" spans="1:20">
      <c r="A62" s="18" t="s">
        <v>693</v>
      </c>
      <c r="B62" s="19" t="s">
        <v>55</v>
      </c>
      <c r="C62" s="19" t="s">
        <v>73</v>
      </c>
      <c r="D62" s="19" t="s">
        <v>51</v>
      </c>
      <c r="E62" s="19">
        <v>119</v>
      </c>
      <c r="F62" s="19">
        <v>21</v>
      </c>
      <c r="G62" s="19" t="s">
        <v>80</v>
      </c>
      <c r="H62" s="20">
        <v>10787</v>
      </c>
      <c r="J62" t="str">
        <v>אילת</v>
      </c>
      <c r="K62" t="str">
        <v>פנל תמיכת החלטות</v>
      </c>
      <c r="L62" t="str">
        <v>משרדית</v>
      </c>
      <c r="M62">
        <v>899</v>
      </c>
      <c r="N62">
        <v>24</v>
      </c>
      <c r="P62" t="str">
        <f ca="1"/>
        <v>תל אביב</v>
      </c>
      <c r="Q62" t="str">
        <f ca="1"/>
        <v>זיפ-יט</v>
      </c>
      <c r="R62" t="str">
        <f ca="1"/>
        <v>דחיסה</v>
      </c>
      <c r="S62">
        <f ca="1"/>
        <v>99</v>
      </c>
      <c r="T62">
        <f ca="1"/>
        <v>18</v>
      </c>
    </row>
    <row r="63" spans="1:20">
      <c r="A63" s="18" t="s">
        <v>694</v>
      </c>
      <c r="B63" s="19" t="s">
        <v>67</v>
      </c>
      <c r="C63" s="19" t="s">
        <v>75</v>
      </c>
      <c r="D63" s="19" t="s">
        <v>30</v>
      </c>
      <c r="E63" s="19">
        <v>350</v>
      </c>
      <c r="F63" s="19">
        <v>10</v>
      </c>
      <c r="G63" s="19" t="s">
        <v>74</v>
      </c>
      <c r="H63" s="20">
        <v>6869</v>
      </c>
      <c r="J63" t="str">
        <v>אילת</v>
      </c>
      <c r="K63" t="str">
        <v>קורל דרו</v>
      </c>
      <c r="L63" t="str">
        <v>שרטוט</v>
      </c>
      <c r="M63">
        <v>280</v>
      </c>
      <c r="N63">
        <v>18</v>
      </c>
      <c r="P63" t="str">
        <f ca="1"/>
        <v>מכבים</v>
      </c>
      <c r="Q63" t="str">
        <f ca="1"/>
        <v>בבילון</v>
      </c>
      <c r="R63" t="str">
        <f ca="1"/>
        <v>משרדית</v>
      </c>
      <c r="S63">
        <f ca="1"/>
        <v>99</v>
      </c>
      <c r="T63">
        <f ca="1"/>
        <v>2</v>
      </c>
    </row>
    <row r="64" spans="1:20">
      <c r="A64" s="18" t="s">
        <v>694</v>
      </c>
      <c r="B64" s="19" t="s">
        <v>55</v>
      </c>
      <c r="C64" s="19" t="s">
        <v>44</v>
      </c>
      <c r="D64" s="19" t="s">
        <v>45</v>
      </c>
      <c r="E64" s="19">
        <v>99</v>
      </c>
      <c r="F64" s="19">
        <v>11</v>
      </c>
      <c r="G64" s="19" t="s">
        <v>59</v>
      </c>
      <c r="H64" s="20">
        <v>8490</v>
      </c>
      <c r="J64" t="str">
        <v>אילת</v>
      </c>
      <c r="K64" t="str">
        <v>קורל דרו</v>
      </c>
      <c r="L64" t="str">
        <v>שרטוט</v>
      </c>
      <c r="M64">
        <v>280</v>
      </c>
      <c r="N64">
        <v>13</v>
      </c>
      <c r="P64" t="str">
        <f ca="1"/>
        <v>ירושלים</v>
      </c>
      <c r="Q64" t="str">
        <f ca="1"/>
        <v>איריס</v>
      </c>
      <c r="R64" t="str">
        <f ca="1"/>
        <v>אנטיוירוס</v>
      </c>
      <c r="S64">
        <f ca="1"/>
        <v>499</v>
      </c>
      <c r="T64">
        <f ca="1"/>
        <v>7</v>
      </c>
    </row>
    <row r="65" spans="1:20">
      <c r="A65" s="18" t="s">
        <v>695</v>
      </c>
      <c r="B65" s="19" t="s">
        <v>24</v>
      </c>
      <c r="C65" s="19" t="s">
        <v>25</v>
      </c>
      <c r="D65" s="19" t="s">
        <v>26</v>
      </c>
      <c r="E65" s="19">
        <v>280</v>
      </c>
      <c r="F65" s="19">
        <v>4</v>
      </c>
      <c r="G65" s="19" t="s">
        <v>87</v>
      </c>
      <c r="H65" s="20">
        <v>5152</v>
      </c>
      <c r="J65" t="str">
        <v>חיפה</v>
      </c>
      <c r="K65" t="str">
        <v>פגפ</v>
      </c>
      <c r="L65" t="str">
        <v>אבטחה</v>
      </c>
      <c r="M65">
        <v>299</v>
      </c>
      <c r="N65">
        <v>32</v>
      </c>
      <c r="P65" t="str">
        <f ca="1"/>
        <v>אילת</v>
      </c>
      <c r="Q65" t="str">
        <f ca="1"/>
        <v>ווין-זיפ 8</v>
      </c>
      <c r="R65" t="str">
        <f ca="1"/>
        <v>דחיסה</v>
      </c>
      <c r="S65">
        <f ca="1"/>
        <v>199</v>
      </c>
      <c r="T65">
        <f ca="1"/>
        <v>7</v>
      </c>
    </row>
    <row r="66" spans="1:20">
      <c r="A66" s="18" t="s">
        <v>695</v>
      </c>
      <c r="B66" s="19" t="s">
        <v>24</v>
      </c>
      <c r="C66" s="19" t="s">
        <v>25</v>
      </c>
      <c r="D66" s="19" t="s">
        <v>26</v>
      </c>
      <c r="E66" s="19">
        <v>280</v>
      </c>
      <c r="F66" s="19">
        <v>7</v>
      </c>
      <c r="G66" s="19" t="s">
        <v>76</v>
      </c>
      <c r="H66" s="20">
        <v>14344</v>
      </c>
      <c r="J66" t="str">
        <v>חיפה</v>
      </c>
      <c r="K66" t="str">
        <v>פיירוול 1</v>
      </c>
      <c r="L66" t="str">
        <v>אבטחה</v>
      </c>
      <c r="M66">
        <v>229</v>
      </c>
      <c r="N66">
        <v>6</v>
      </c>
      <c r="P66" t="str">
        <f ca="1"/>
        <v>ראשון לציון</v>
      </c>
      <c r="Q66" t="str">
        <f ca="1"/>
        <v>אקרובט</v>
      </c>
      <c r="R66" t="str">
        <f ca="1"/>
        <v>משרדית</v>
      </c>
      <c r="S66">
        <f ca="1"/>
        <v>599</v>
      </c>
      <c r="T66">
        <f ca="1"/>
        <v>6</v>
      </c>
    </row>
    <row r="67" spans="1:20">
      <c r="A67" s="18" t="s">
        <v>695</v>
      </c>
      <c r="B67" s="19" t="s">
        <v>49</v>
      </c>
      <c r="C67" s="19" t="s">
        <v>44</v>
      </c>
      <c r="D67" s="19" t="s">
        <v>45</v>
      </c>
      <c r="E67" s="19">
        <v>99</v>
      </c>
      <c r="F67" s="19">
        <v>5</v>
      </c>
      <c r="G67" s="19" t="s">
        <v>70</v>
      </c>
      <c r="H67" s="20">
        <v>6540</v>
      </c>
      <c r="J67" t="str">
        <v>חיפה</v>
      </c>
      <c r="K67" t="str">
        <v>פיירוול 1</v>
      </c>
      <c r="L67" t="str">
        <v>אבטחה</v>
      </c>
      <c r="M67">
        <v>229</v>
      </c>
      <c r="N67">
        <v>32</v>
      </c>
      <c r="P67" t="str">
        <f ca="1"/>
        <v>מכבים</v>
      </c>
      <c r="Q67" t="str">
        <f ca="1"/>
        <v>זיפ-יט</v>
      </c>
      <c r="R67" t="str">
        <f ca="1"/>
        <v>דחיסה</v>
      </c>
      <c r="S67">
        <f ca="1"/>
        <v>99</v>
      </c>
      <c r="T67">
        <f ca="1"/>
        <v>6</v>
      </c>
    </row>
    <row r="68" spans="1:20">
      <c r="A68" s="18" t="s">
        <v>696</v>
      </c>
      <c r="B68" s="19" t="s">
        <v>55</v>
      </c>
      <c r="C68" s="19" t="s">
        <v>32</v>
      </c>
      <c r="D68" s="19" t="s">
        <v>33</v>
      </c>
      <c r="E68" s="19">
        <v>499</v>
      </c>
      <c r="F68" s="19">
        <v>20</v>
      </c>
      <c r="G68" s="19" t="s">
        <v>59</v>
      </c>
      <c r="H68" s="20">
        <v>15113</v>
      </c>
      <c r="J68" t="str">
        <v>חיפה</v>
      </c>
      <c r="K68" t="str">
        <v>פיירוול 1</v>
      </c>
      <c r="L68" t="str">
        <v>אבטחה</v>
      </c>
      <c r="M68">
        <v>229</v>
      </c>
      <c r="N68">
        <v>33</v>
      </c>
      <c r="P68" t="str">
        <f ca="1"/>
        <v>תל אביב</v>
      </c>
      <c r="Q68" t="str">
        <f ca="1"/>
        <v>אקסס</v>
      </c>
      <c r="R68" t="str">
        <f ca="1"/>
        <v>משרדית</v>
      </c>
      <c r="S68">
        <f ca="1"/>
        <v>95</v>
      </c>
      <c r="T68">
        <f ca="1"/>
        <v>18</v>
      </c>
    </row>
    <row r="69" spans="1:20">
      <c r="A69" s="18" t="s">
        <v>697</v>
      </c>
      <c r="B69" s="19" t="s">
        <v>67</v>
      </c>
      <c r="C69" s="19" t="s">
        <v>53</v>
      </c>
      <c r="D69" s="19" t="s">
        <v>40</v>
      </c>
      <c r="E69" s="19">
        <v>229</v>
      </c>
      <c r="F69" s="19">
        <v>14</v>
      </c>
      <c r="G69" s="19" t="s">
        <v>78</v>
      </c>
      <c r="H69" s="20">
        <v>16742</v>
      </c>
      <c r="J69" t="str">
        <v>חיפה</v>
      </c>
      <c r="K69" t="str">
        <v>פרו-פורט</v>
      </c>
      <c r="L69" t="str">
        <v>אבטחה</v>
      </c>
      <c r="M69">
        <v>149</v>
      </c>
      <c r="N69">
        <v>22</v>
      </c>
      <c r="P69" t="str">
        <f ca="1"/>
        <v>ירושלים</v>
      </c>
      <c r="Q69" t="str">
        <f ca="1"/>
        <v>אסטאונד</v>
      </c>
      <c r="R69" t="str">
        <f ca="1"/>
        <v>מצגות</v>
      </c>
      <c r="S69">
        <f ca="1"/>
        <v>399</v>
      </c>
      <c r="T69">
        <f ca="1"/>
        <v>17</v>
      </c>
    </row>
    <row r="70" spans="1:20">
      <c r="A70" s="18" t="s">
        <v>698</v>
      </c>
      <c r="B70" s="19" t="s">
        <v>67</v>
      </c>
      <c r="C70" s="19" t="s">
        <v>57</v>
      </c>
      <c r="D70" s="19" t="s">
        <v>58</v>
      </c>
      <c r="E70" s="19">
        <v>175</v>
      </c>
      <c r="F70" s="19">
        <v>23</v>
      </c>
      <c r="G70" s="19" t="s">
        <v>69</v>
      </c>
      <c r="H70" s="20">
        <v>15786</v>
      </c>
      <c r="J70" t="str">
        <v>חיפה</v>
      </c>
      <c r="K70" t="str">
        <v>פרו-פורט</v>
      </c>
      <c r="L70" t="str">
        <v>אבטחה</v>
      </c>
      <c r="M70">
        <v>149</v>
      </c>
      <c r="N70">
        <v>31</v>
      </c>
      <c r="P70" t="str">
        <f ca="1"/>
        <v>ירושלים</v>
      </c>
      <c r="Q70" t="str">
        <f ca="1"/>
        <v>אסטאונד</v>
      </c>
      <c r="R70" t="str">
        <f ca="1"/>
        <v>מצגות</v>
      </c>
      <c r="S70">
        <f ca="1"/>
        <v>399</v>
      </c>
      <c r="T70">
        <f ca="1"/>
        <v>27</v>
      </c>
    </row>
    <row r="71" spans="1:20">
      <c r="A71" s="18" t="s">
        <v>699</v>
      </c>
      <c r="B71" s="19" t="s">
        <v>38</v>
      </c>
      <c r="C71" s="19" t="s">
        <v>75</v>
      </c>
      <c r="D71" s="19" t="s">
        <v>30</v>
      </c>
      <c r="E71" s="19">
        <v>350</v>
      </c>
      <c r="F71" s="19">
        <v>30</v>
      </c>
      <c r="G71" s="19" t="s">
        <v>60</v>
      </c>
      <c r="H71" s="20">
        <v>1500</v>
      </c>
      <c r="J71" t="str">
        <v>חיפה</v>
      </c>
      <c r="K71" t="str">
        <v>פרו-פורט</v>
      </c>
      <c r="L71" t="str">
        <v>אבטחה</v>
      </c>
      <c r="M71">
        <v>149</v>
      </c>
      <c r="N71">
        <v>22</v>
      </c>
      <c r="P71" t="str">
        <f ca="1"/>
        <v>קרית שמונה</v>
      </c>
      <c r="Q71" t="str">
        <f ca="1"/>
        <v>פגפ</v>
      </c>
      <c r="R71" t="str">
        <f ca="1"/>
        <v>אבטחה</v>
      </c>
      <c r="S71">
        <f ca="1"/>
        <v>299</v>
      </c>
      <c r="T71">
        <f ca="1"/>
        <v>33</v>
      </c>
    </row>
    <row r="72" spans="1:20">
      <c r="A72" s="18" t="s">
        <v>699</v>
      </c>
      <c r="B72" s="19" t="s">
        <v>55</v>
      </c>
      <c r="C72" s="19" t="s">
        <v>61</v>
      </c>
      <c r="D72" s="19" t="s">
        <v>45</v>
      </c>
      <c r="E72" s="19">
        <v>199</v>
      </c>
      <c r="F72" s="19">
        <v>20</v>
      </c>
      <c r="G72" s="19" t="s">
        <v>80</v>
      </c>
      <c r="H72" s="20">
        <v>10859</v>
      </c>
      <c r="J72" t="str">
        <v>חיפה</v>
      </c>
      <c r="K72" t="str">
        <v>פרו-פורט</v>
      </c>
      <c r="L72" t="str">
        <v>אבטחה</v>
      </c>
      <c r="M72">
        <v>149</v>
      </c>
      <c r="N72">
        <v>16</v>
      </c>
      <c r="P72" t="str">
        <f ca="1"/>
        <v>אילת</v>
      </c>
      <c r="Q72" t="str">
        <f ca="1"/>
        <v>נורטון</v>
      </c>
      <c r="R72" t="str">
        <f ca="1"/>
        <v>אנטיוירוס</v>
      </c>
      <c r="S72">
        <f ca="1"/>
        <v>629</v>
      </c>
      <c r="T72">
        <f ca="1"/>
        <v>29</v>
      </c>
    </row>
    <row r="73" spans="1:20">
      <c r="A73" s="18" t="s">
        <v>699</v>
      </c>
      <c r="B73" s="19" t="s">
        <v>38</v>
      </c>
      <c r="C73" s="19" t="s">
        <v>44</v>
      </c>
      <c r="D73" s="19" t="s">
        <v>45</v>
      </c>
      <c r="E73" s="19">
        <v>99</v>
      </c>
      <c r="F73" s="19">
        <v>23</v>
      </c>
      <c r="G73" s="19" t="s">
        <v>63</v>
      </c>
      <c r="H73" s="20">
        <v>14898</v>
      </c>
      <c r="J73" t="str">
        <v>חיפה</v>
      </c>
      <c r="K73" t="str">
        <v>פרו-פורט</v>
      </c>
      <c r="L73" t="str">
        <v>אבטחה</v>
      </c>
      <c r="M73">
        <v>149</v>
      </c>
      <c r="N73">
        <v>17</v>
      </c>
      <c r="P73" t="str">
        <f ca="1"/>
        <v>מכבים</v>
      </c>
      <c r="Q73" t="str">
        <f ca="1"/>
        <v>פרו-פורט</v>
      </c>
      <c r="R73" t="str">
        <f ca="1"/>
        <v>אבטחה</v>
      </c>
      <c r="S73">
        <f ca="1"/>
        <v>149</v>
      </c>
      <c r="T73">
        <f ca="1"/>
        <v>14</v>
      </c>
    </row>
    <row r="74" spans="1:20">
      <c r="A74" s="18">
        <v>44929</v>
      </c>
      <c r="B74" s="19" t="s">
        <v>28</v>
      </c>
      <c r="C74" s="19" t="s">
        <v>29</v>
      </c>
      <c r="D74" s="19" t="s">
        <v>30</v>
      </c>
      <c r="E74" s="19">
        <v>899</v>
      </c>
      <c r="F74" s="19">
        <v>24</v>
      </c>
      <c r="G74" s="19" t="s">
        <v>34</v>
      </c>
      <c r="H74" s="20">
        <v>14892</v>
      </c>
      <c r="J74" t="str">
        <v>חיפה</v>
      </c>
      <c r="K74" t="str">
        <v>פרו-פורט</v>
      </c>
      <c r="L74" t="str">
        <v>אבטחה</v>
      </c>
      <c r="M74">
        <v>149</v>
      </c>
      <c r="N74">
        <v>32</v>
      </c>
      <c r="P74" t="str">
        <f ca="1"/>
        <v>אילת</v>
      </c>
      <c r="Q74" t="str">
        <f ca="1"/>
        <v>זיפ-יט</v>
      </c>
      <c r="R74" t="str">
        <f ca="1"/>
        <v>דחיסה</v>
      </c>
      <c r="S74">
        <f ca="1"/>
        <v>99</v>
      </c>
      <c r="T74">
        <f ca="1"/>
        <v>2</v>
      </c>
    </row>
    <row r="75" spans="1:20">
      <c r="A75" s="18">
        <v>44929</v>
      </c>
      <c r="B75" s="19" t="s">
        <v>28</v>
      </c>
      <c r="C75" s="19" t="s">
        <v>48</v>
      </c>
      <c r="D75" s="19" t="s">
        <v>30</v>
      </c>
      <c r="E75" s="19">
        <v>95</v>
      </c>
      <c r="F75" s="19">
        <v>18</v>
      </c>
      <c r="G75" s="19" t="s">
        <v>34</v>
      </c>
      <c r="H75" s="20">
        <v>17016</v>
      </c>
      <c r="J75" t="str">
        <v>חיפה</v>
      </c>
      <c r="K75" t="str">
        <v>פרו-פורט</v>
      </c>
      <c r="L75" t="str">
        <v>אבטחה</v>
      </c>
      <c r="M75">
        <v>149</v>
      </c>
      <c r="N75">
        <v>27</v>
      </c>
      <c r="P75" t="str">
        <f ca="1"/>
        <v>אילת</v>
      </c>
      <c r="Q75" t="str">
        <f ca="1"/>
        <v>איריס</v>
      </c>
      <c r="R75" t="str">
        <f ca="1"/>
        <v>אנטיוירוס</v>
      </c>
      <c r="S75">
        <f ca="1"/>
        <v>499</v>
      </c>
      <c r="T75">
        <f ca="1"/>
        <v>13</v>
      </c>
    </row>
    <row r="76" spans="1:20">
      <c r="A76" s="18">
        <v>44929</v>
      </c>
      <c r="B76" s="19" t="s">
        <v>38</v>
      </c>
      <c r="C76" s="19" t="s">
        <v>53</v>
      </c>
      <c r="D76" s="19" t="s">
        <v>40</v>
      </c>
      <c r="E76" s="19">
        <v>229</v>
      </c>
      <c r="F76" s="19">
        <v>1</v>
      </c>
      <c r="G76" s="19" t="s">
        <v>41</v>
      </c>
      <c r="H76" s="20">
        <v>9405</v>
      </c>
      <c r="J76" t="str">
        <v>חיפה</v>
      </c>
      <c r="K76" t="str">
        <v>פרו-פורט</v>
      </c>
      <c r="L76" t="str">
        <v>אבטחה</v>
      </c>
      <c r="M76">
        <v>149</v>
      </c>
      <c r="N76">
        <v>26</v>
      </c>
      <c r="P76" t="str">
        <f ca="1"/>
        <v>ירושלים</v>
      </c>
      <c r="Q76" t="str">
        <f ca="1"/>
        <v>וורד</v>
      </c>
      <c r="R76" t="str">
        <f ca="1"/>
        <v>משרדית</v>
      </c>
      <c r="S76">
        <f ca="1"/>
        <v>350</v>
      </c>
      <c r="T76">
        <f ca="1"/>
        <v>9</v>
      </c>
    </row>
    <row r="77" spans="1:20">
      <c r="A77" s="18">
        <v>44988</v>
      </c>
      <c r="B77" s="19" t="s">
        <v>38</v>
      </c>
      <c r="C77" s="19" t="s">
        <v>39</v>
      </c>
      <c r="D77" s="19" t="s">
        <v>40</v>
      </c>
      <c r="E77" s="19">
        <v>299</v>
      </c>
      <c r="F77" s="19">
        <v>22</v>
      </c>
      <c r="G77" s="19" t="s">
        <v>63</v>
      </c>
      <c r="H77" s="20">
        <v>17358</v>
      </c>
      <c r="J77" t="str">
        <v>חיפה</v>
      </c>
      <c r="K77" t="str">
        <v>איריס</v>
      </c>
      <c r="L77" t="str">
        <v>אנטיוירוס</v>
      </c>
      <c r="M77">
        <v>499</v>
      </c>
      <c r="N77">
        <v>19</v>
      </c>
      <c r="P77" t="str">
        <f ca="1"/>
        <v>אילת</v>
      </c>
      <c r="Q77" t="str">
        <f ca="1"/>
        <v>נגן ריל פלייר 1</v>
      </c>
      <c r="R77" t="str">
        <f ca="1"/>
        <v>בידור</v>
      </c>
      <c r="S77">
        <f ca="1"/>
        <v>139</v>
      </c>
      <c r="T77">
        <f ca="1"/>
        <v>16</v>
      </c>
    </row>
    <row r="78" spans="1:20">
      <c r="A78" s="18">
        <v>44988</v>
      </c>
      <c r="B78" s="19" t="s">
        <v>67</v>
      </c>
      <c r="C78" s="19" t="s">
        <v>57</v>
      </c>
      <c r="D78" s="19" t="s">
        <v>58</v>
      </c>
      <c r="E78" s="19">
        <v>175</v>
      </c>
      <c r="F78" s="19">
        <v>25</v>
      </c>
      <c r="G78" s="19" t="s">
        <v>74</v>
      </c>
      <c r="H78" s="20">
        <v>3564</v>
      </c>
      <c r="J78" t="str">
        <v>חיפה</v>
      </c>
      <c r="K78" t="str">
        <v>איריס</v>
      </c>
      <c r="L78" t="str">
        <v>אנטיוירוס</v>
      </c>
      <c r="M78">
        <v>499</v>
      </c>
      <c r="N78">
        <v>3</v>
      </c>
      <c r="P78" t="str">
        <f ca="1"/>
        <v>מכבים</v>
      </c>
      <c r="Q78" t="str">
        <f ca="1"/>
        <v>אקסס</v>
      </c>
      <c r="R78" t="str">
        <f ca="1"/>
        <v>משרדית</v>
      </c>
      <c r="S78">
        <f ca="1"/>
        <v>95</v>
      </c>
      <c r="T78">
        <f ca="1"/>
        <v>11</v>
      </c>
    </row>
    <row r="79" spans="1:20">
      <c r="A79" s="18">
        <v>44988</v>
      </c>
      <c r="B79" s="19" t="s">
        <v>28</v>
      </c>
      <c r="C79" s="19" t="s">
        <v>42</v>
      </c>
      <c r="D79" s="19" t="s">
        <v>30</v>
      </c>
      <c r="E79" s="19">
        <v>59</v>
      </c>
      <c r="F79" s="19">
        <v>23</v>
      </c>
      <c r="G79" s="19" t="s">
        <v>34</v>
      </c>
      <c r="H79" s="20">
        <v>17392</v>
      </c>
      <c r="J79" t="str">
        <v>חיפה</v>
      </c>
      <c r="K79" t="str">
        <v>נורטון</v>
      </c>
      <c r="L79" t="str">
        <v>אנטיוירוס</v>
      </c>
      <c r="M79">
        <v>629</v>
      </c>
      <c r="N79">
        <v>22</v>
      </c>
      <c r="P79" t="str">
        <f ca="1"/>
        <v>תל אביב</v>
      </c>
      <c r="Q79" t="str">
        <f ca="1"/>
        <v>נגן ריל פלייר 1</v>
      </c>
      <c r="R79" t="str">
        <f ca="1"/>
        <v>בידור</v>
      </c>
      <c r="S79">
        <f ca="1"/>
        <v>139</v>
      </c>
      <c r="T79">
        <f ca="1"/>
        <v>10</v>
      </c>
    </row>
    <row r="80" spans="1:20">
      <c r="A80" s="18">
        <v>45019</v>
      </c>
      <c r="B80" s="19" t="s">
        <v>49</v>
      </c>
      <c r="C80" s="19" t="s">
        <v>25</v>
      </c>
      <c r="D80" s="19" t="s">
        <v>26</v>
      </c>
      <c r="E80" s="19">
        <v>280</v>
      </c>
      <c r="F80" s="19">
        <v>30</v>
      </c>
      <c r="G80" s="19" t="s">
        <v>52</v>
      </c>
      <c r="H80" s="20">
        <v>3495</v>
      </c>
      <c r="J80" t="str">
        <v>חיפה</v>
      </c>
      <c r="K80" t="str">
        <v>נורטון</v>
      </c>
      <c r="L80" t="str">
        <v>אנטיוירוס</v>
      </c>
      <c r="M80">
        <v>629</v>
      </c>
      <c r="N80">
        <v>22</v>
      </c>
      <c r="P80" t="str">
        <f ca="1"/>
        <v>אילת</v>
      </c>
      <c r="Q80" t="str">
        <f ca="1"/>
        <v>פיירוול 1</v>
      </c>
      <c r="R80" t="str">
        <f ca="1"/>
        <v>אבטחה</v>
      </c>
      <c r="S80">
        <f ca="1"/>
        <v>229</v>
      </c>
      <c r="T80">
        <f ca="1"/>
        <v>14</v>
      </c>
    </row>
    <row r="81" spans="1:20">
      <c r="A81" s="18">
        <v>45049</v>
      </c>
      <c r="B81" s="19" t="s">
        <v>38</v>
      </c>
      <c r="C81" s="19" t="s">
        <v>62</v>
      </c>
      <c r="D81" s="19" t="s">
        <v>33</v>
      </c>
      <c r="E81" s="19">
        <v>629</v>
      </c>
      <c r="F81" s="19">
        <v>26</v>
      </c>
      <c r="G81" s="19" t="s">
        <v>41</v>
      </c>
      <c r="H81" s="20">
        <v>18284</v>
      </c>
      <c r="J81" t="str">
        <v>חיפה</v>
      </c>
      <c r="K81" t="str">
        <v>ברידג'</v>
      </c>
      <c r="L81" t="str">
        <v>בידור</v>
      </c>
      <c r="M81">
        <v>75</v>
      </c>
      <c r="N81">
        <v>4</v>
      </c>
      <c r="P81" t="str">
        <f ca="1"/>
        <v>ירושלים</v>
      </c>
      <c r="Q81" t="str">
        <f ca="1"/>
        <v>יודורה</v>
      </c>
      <c r="R81" t="str">
        <f ca="1"/>
        <v>משרדית</v>
      </c>
      <c r="S81">
        <f ca="1"/>
        <v>59</v>
      </c>
      <c r="T81">
        <f ca="1"/>
        <v>8</v>
      </c>
    </row>
    <row r="82" spans="1:20">
      <c r="A82" s="18">
        <v>45080</v>
      </c>
      <c r="B82" s="19" t="s">
        <v>38</v>
      </c>
      <c r="C82" s="19" t="s">
        <v>73</v>
      </c>
      <c r="D82" s="19" t="s">
        <v>51</v>
      </c>
      <c r="E82" s="19">
        <v>119</v>
      </c>
      <c r="F82" s="19">
        <v>23</v>
      </c>
      <c r="G82" s="19" t="s">
        <v>60</v>
      </c>
      <c r="H82" s="20">
        <v>7249</v>
      </c>
      <c r="J82" t="str">
        <v>חיפה</v>
      </c>
      <c r="K82" t="str">
        <v>נגן ריל פלייר 1</v>
      </c>
      <c r="L82" t="str">
        <v>בידור</v>
      </c>
      <c r="M82">
        <v>139</v>
      </c>
      <c r="N82">
        <v>9</v>
      </c>
      <c r="P82" t="str">
        <f ca="1"/>
        <v>ראשון לציון</v>
      </c>
      <c r="Q82" t="str">
        <f ca="1"/>
        <v>אקסס</v>
      </c>
      <c r="R82" t="str">
        <f ca="1"/>
        <v>משרדית</v>
      </c>
      <c r="S82">
        <f ca="1"/>
        <v>95</v>
      </c>
      <c r="T82">
        <f ca="1"/>
        <v>8</v>
      </c>
    </row>
    <row r="83" spans="1:20">
      <c r="A83" s="18">
        <v>45110</v>
      </c>
      <c r="B83" s="19" t="s">
        <v>55</v>
      </c>
      <c r="C83" s="19" t="s">
        <v>65</v>
      </c>
      <c r="D83" s="19" t="s">
        <v>58</v>
      </c>
      <c r="E83" s="19">
        <v>399</v>
      </c>
      <c r="F83" s="19">
        <v>17</v>
      </c>
      <c r="G83" s="19" t="s">
        <v>56</v>
      </c>
      <c r="H83" s="20">
        <v>16973</v>
      </c>
      <c r="J83" t="str">
        <v>חיפה</v>
      </c>
      <c r="K83" t="str">
        <v>נגן ריל פלייר 1</v>
      </c>
      <c r="L83" t="str">
        <v>בידור</v>
      </c>
      <c r="M83">
        <v>139</v>
      </c>
      <c r="N83">
        <v>31</v>
      </c>
      <c r="P83" t="str">
        <f ca="1"/>
        <v>מכבים</v>
      </c>
      <c r="Q83" t="str">
        <f ca="1"/>
        <v>ווין-זיפ 8</v>
      </c>
      <c r="R83" t="str">
        <f ca="1"/>
        <v>דחיסה</v>
      </c>
      <c r="S83">
        <f ca="1"/>
        <v>199</v>
      </c>
      <c r="T83">
        <f ca="1"/>
        <v>20</v>
      </c>
    </row>
    <row r="84" spans="1:20">
      <c r="A84" s="18">
        <v>45110</v>
      </c>
      <c r="B84" s="19" t="s">
        <v>49</v>
      </c>
      <c r="C84" s="19" t="s">
        <v>68</v>
      </c>
      <c r="D84" s="19" t="s">
        <v>40</v>
      </c>
      <c r="E84" s="19">
        <v>149</v>
      </c>
      <c r="F84" s="19">
        <v>22</v>
      </c>
      <c r="G84" s="19" t="s">
        <v>52</v>
      </c>
      <c r="H84" s="20">
        <v>17907</v>
      </c>
      <c r="J84" t="str">
        <v>חיפה</v>
      </c>
      <c r="K84" t="str">
        <v>נגן ריל פלייר 1</v>
      </c>
      <c r="L84" t="str">
        <v>בידור</v>
      </c>
      <c r="M84">
        <v>139</v>
      </c>
      <c r="N84">
        <v>30</v>
      </c>
      <c r="P84" t="str">
        <f ca="1"/>
        <v>ראשון לציון</v>
      </c>
      <c r="Q84" t="str">
        <f ca="1"/>
        <v>פרו-פורט</v>
      </c>
      <c r="R84" t="str">
        <f ca="1"/>
        <v>אבטחה</v>
      </c>
      <c r="S84">
        <f ca="1"/>
        <v>149</v>
      </c>
      <c r="T84">
        <f ca="1"/>
        <v>31</v>
      </c>
    </row>
    <row r="85" spans="1:20">
      <c r="A85" s="18">
        <v>45110</v>
      </c>
      <c r="B85" s="19" t="s">
        <v>81</v>
      </c>
      <c r="C85" s="19" t="s">
        <v>85</v>
      </c>
      <c r="D85" s="19" t="s">
        <v>51</v>
      </c>
      <c r="E85" s="19">
        <v>75</v>
      </c>
      <c r="F85" s="19">
        <v>29</v>
      </c>
      <c r="G85" s="19" t="s">
        <v>83</v>
      </c>
      <c r="H85" s="20">
        <v>5704</v>
      </c>
      <c r="J85" t="str">
        <v>חיפה</v>
      </c>
      <c r="K85" t="str">
        <v>נגן ריל פלייר 1</v>
      </c>
      <c r="L85" t="str">
        <v>בידור</v>
      </c>
      <c r="M85">
        <v>139</v>
      </c>
      <c r="N85">
        <v>16</v>
      </c>
      <c r="P85" t="str">
        <f ca="1"/>
        <v>מכבים</v>
      </c>
      <c r="Q85" t="str">
        <f ca="1"/>
        <v>אקרובט</v>
      </c>
      <c r="R85" t="str">
        <f ca="1"/>
        <v>משרדית</v>
      </c>
      <c r="S85">
        <f ca="1"/>
        <v>599</v>
      </c>
      <c r="T85">
        <f ca="1"/>
        <v>12</v>
      </c>
    </row>
    <row r="86" spans="1:20">
      <c r="A86" s="18">
        <v>45110</v>
      </c>
      <c r="B86" s="19" t="s">
        <v>38</v>
      </c>
      <c r="C86" s="19" t="s">
        <v>35</v>
      </c>
      <c r="D86" s="19" t="s">
        <v>30</v>
      </c>
      <c r="E86" s="19">
        <v>599</v>
      </c>
      <c r="F86" s="19">
        <v>6</v>
      </c>
      <c r="G86" s="19" t="s">
        <v>63</v>
      </c>
      <c r="H86" s="20">
        <v>17183</v>
      </c>
      <c r="J86" t="str">
        <v>חיפה</v>
      </c>
      <c r="K86" t="str">
        <v>נגן ריל פלייר 1</v>
      </c>
      <c r="L86" t="str">
        <v>בידור</v>
      </c>
      <c r="M86">
        <v>139</v>
      </c>
      <c r="N86">
        <v>20</v>
      </c>
      <c r="P86" t="str">
        <f ca="1"/>
        <v>קרית שמונה</v>
      </c>
      <c r="Q86" t="str">
        <f ca="1"/>
        <v>פגפ</v>
      </c>
      <c r="R86" t="str">
        <f ca="1"/>
        <v>אבטחה</v>
      </c>
      <c r="S86">
        <f ca="1"/>
        <v>299</v>
      </c>
      <c r="T86">
        <f ca="1"/>
        <v>7</v>
      </c>
    </row>
    <row r="87" spans="1:20">
      <c r="A87" s="18">
        <v>45110</v>
      </c>
      <c r="B87" s="19" t="s">
        <v>55</v>
      </c>
      <c r="C87" s="19" t="s">
        <v>35</v>
      </c>
      <c r="D87" s="19" t="s">
        <v>30</v>
      </c>
      <c r="E87" s="19">
        <v>599</v>
      </c>
      <c r="F87" s="19">
        <v>23</v>
      </c>
      <c r="G87" s="19" t="s">
        <v>56</v>
      </c>
      <c r="H87" s="20">
        <v>6330</v>
      </c>
      <c r="J87" t="str">
        <v>חיפה</v>
      </c>
      <c r="K87" t="str">
        <v>נגן ריל פלייר 1</v>
      </c>
      <c r="L87" t="str">
        <v>בידור</v>
      </c>
      <c r="M87">
        <v>139</v>
      </c>
      <c r="N87">
        <v>29</v>
      </c>
      <c r="P87" t="str">
        <f ca="1"/>
        <v>ראשון לציון</v>
      </c>
      <c r="Q87" t="str">
        <f ca="1"/>
        <v>זיפ-יט</v>
      </c>
      <c r="R87" t="str">
        <f ca="1"/>
        <v>דחיסה</v>
      </c>
      <c r="S87">
        <f ca="1"/>
        <v>99</v>
      </c>
      <c r="T87">
        <f ca="1"/>
        <v>2</v>
      </c>
    </row>
    <row r="88" spans="1:20">
      <c r="A88" s="18">
        <v>45141</v>
      </c>
      <c r="B88" s="19" t="s">
        <v>24</v>
      </c>
      <c r="C88" s="19" t="s">
        <v>47</v>
      </c>
      <c r="D88" s="19" t="s">
        <v>30</v>
      </c>
      <c r="E88" s="19">
        <v>99</v>
      </c>
      <c r="F88" s="19">
        <v>22</v>
      </c>
      <c r="G88" s="19" t="s">
        <v>76</v>
      </c>
      <c r="H88" s="20">
        <v>9576</v>
      </c>
      <c r="J88" t="str">
        <v>חיפה</v>
      </c>
      <c r="K88" t="str">
        <v>נגן ריל פלייר 1</v>
      </c>
      <c r="L88" t="str">
        <v>בידור</v>
      </c>
      <c r="M88">
        <v>139</v>
      </c>
      <c r="N88">
        <v>30</v>
      </c>
      <c r="P88" t="str">
        <f ca="1"/>
        <v>ראשון לציון</v>
      </c>
      <c r="Q88" t="str">
        <f ca="1"/>
        <v>נורטון</v>
      </c>
      <c r="R88" t="str">
        <f ca="1"/>
        <v>אנטיוירוס</v>
      </c>
      <c r="S88">
        <f ca="1"/>
        <v>629</v>
      </c>
      <c r="T88">
        <f ca="1"/>
        <v>6</v>
      </c>
    </row>
    <row r="89" spans="1:20">
      <c r="A89" s="18">
        <v>45172</v>
      </c>
      <c r="B89" s="19" t="s">
        <v>49</v>
      </c>
      <c r="C89" s="19" t="s">
        <v>75</v>
      </c>
      <c r="D89" s="19" t="s">
        <v>30</v>
      </c>
      <c r="E89" s="19">
        <v>350</v>
      </c>
      <c r="F89" s="19">
        <v>3</v>
      </c>
      <c r="G89" s="19" t="s">
        <v>70</v>
      </c>
      <c r="H89" s="20">
        <v>5320</v>
      </c>
      <c r="J89" t="str">
        <v>חיפה</v>
      </c>
      <c r="K89" t="str">
        <v>נגן ריל פלייר 1</v>
      </c>
      <c r="L89" t="str">
        <v>בידור</v>
      </c>
      <c r="M89">
        <v>139</v>
      </c>
      <c r="N89">
        <v>26</v>
      </c>
      <c r="P89" t="str">
        <f ca="1"/>
        <v>ירושלים</v>
      </c>
      <c r="Q89" t="str">
        <f ca="1"/>
        <v>פגפ</v>
      </c>
      <c r="R89" t="str">
        <f ca="1"/>
        <v>אבטחה</v>
      </c>
      <c r="S89">
        <f ca="1"/>
        <v>299</v>
      </c>
      <c r="T89">
        <f ca="1"/>
        <v>19</v>
      </c>
    </row>
    <row r="90" spans="1:20">
      <c r="A90" s="18">
        <v>45202</v>
      </c>
      <c r="B90" s="19" t="s">
        <v>55</v>
      </c>
      <c r="C90" s="19" t="s">
        <v>25</v>
      </c>
      <c r="D90" s="19" t="s">
        <v>26</v>
      </c>
      <c r="E90" s="19">
        <v>280</v>
      </c>
      <c r="F90" s="19">
        <v>26</v>
      </c>
      <c r="G90" s="19" t="s">
        <v>66</v>
      </c>
      <c r="H90" s="20">
        <v>6678</v>
      </c>
      <c r="J90" t="str">
        <v>חיפה</v>
      </c>
      <c r="K90" t="str">
        <v>נגן ריל פלייר 1</v>
      </c>
      <c r="L90" t="str">
        <v>בידור</v>
      </c>
      <c r="M90">
        <v>139</v>
      </c>
      <c r="N90">
        <v>3</v>
      </c>
      <c r="P90" t="str">
        <f ca="1"/>
        <v>ירושלים</v>
      </c>
      <c r="Q90" t="str">
        <f ca="1"/>
        <v>אסטאונד</v>
      </c>
      <c r="R90" t="str">
        <f ca="1"/>
        <v>מצגות</v>
      </c>
      <c r="S90">
        <f ca="1"/>
        <v>399</v>
      </c>
      <c r="T90">
        <f ca="1"/>
        <v>28</v>
      </c>
    </row>
    <row r="91" spans="1:20">
      <c r="A91" s="18">
        <v>45202</v>
      </c>
      <c r="B91" s="19" t="s">
        <v>24</v>
      </c>
      <c r="C91" s="19" t="s">
        <v>29</v>
      </c>
      <c r="D91" s="19" t="s">
        <v>30</v>
      </c>
      <c r="E91" s="19">
        <v>899</v>
      </c>
      <c r="F91" s="19">
        <v>33</v>
      </c>
      <c r="G91" s="19" t="s">
        <v>46</v>
      </c>
      <c r="H91" s="20">
        <v>1822</v>
      </c>
      <c r="J91" t="str">
        <v>חיפה</v>
      </c>
      <c r="K91" t="str">
        <v>נגן ריל פלייר 1</v>
      </c>
      <c r="L91" t="str">
        <v>בידור</v>
      </c>
      <c r="M91">
        <v>139</v>
      </c>
      <c r="N91">
        <v>11</v>
      </c>
      <c r="P91" t="str">
        <f ca="1"/>
        <v>ירושלים</v>
      </c>
      <c r="Q91" t="str">
        <f ca="1"/>
        <v>זיפ-יט</v>
      </c>
      <c r="R91" t="str">
        <f ca="1"/>
        <v>דחיסה</v>
      </c>
      <c r="S91">
        <f ca="1"/>
        <v>99</v>
      </c>
      <c r="T91">
        <f ca="1"/>
        <v>26</v>
      </c>
    </row>
    <row r="92" spans="1:20">
      <c r="A92" s="18">
        <v>45233</v>
      </c>
      <c r="B92" s="19" t="s">
        <v>67</v>
      </c>
      <c r="C92" s="19" t="s">
        <v>47</v>
      </c>
      <c r="D92" s="19" t="s">
        <v>30</v>
      </c>
      <c r="E92" s="19">
        <v>99</v>
      </c>
      <c r="F92" s="19">
        <v>25</v>
      </c>
      <c r="G92" s="19" t="s">
        <v>69</v>
      </c>
      <c r="H92" s="20">
        <v>10907</v>
      </c>
      <c r="J92" t="str">
        <v>חיפה</v>
      </c>
      <c r="K92" t="str">
        <v>סוליטיר</v>
      </c>
      <c r="L92" t="str">
        <v>בידור</v>
      </c>
      <c r="M92">
        <v>119</v>
      </c>
      <c r="N92">
        <v>15</v>
      </c>
      <c r="P92" t="str">
        <f ca="1"/>
        <v>תל אביב</v>
      </c>
      <c r="Q92" t="str">
        <f ca="1"/>
        <v>סוליטיר</v>
      </c>
      <c r="R92" t="str">
        <f ca="1"/>
        <v>בידור</v>
      </c>
      <c r="S92">
        <f ca="1"/>
        <v>119</v>
      </c>
      <c r="T92">
        <f ca="1"/>
        <v>24</v>
      </c>
    </row>
    <row r="93" spans="1:20">
      <c r="A93" s="18">
        <v>45263</v>
      </c>
      <c r="B93" s="19" t="s">
        <v>38</v>
      </c>
      <c r="C93" s="19" t="s">
        <v>85</v>
      </c>
      <c r="D93" s="19" t="s">
        <v>51</v>
      </c>
      <c r="E93" s="19">
        <v>75</v>
      </c>
      <c r="F93" s="19">
        <v>13</v>
      </c>
      <c r="G93" s="19" t="s">
        <v>60</v>
      </c>
      <c r="H93" s="20">
        <v>11557</v>
      </c>
      <c r="J93" t="str">
        <v>חיפה</v>
      </c>
      <c r="K93" t="str">
        <v>סוליטיר</v>
      </c>
      <c r="L93" t="str">
        <v>בידור</v>
      </c>
      <c r="M93">
        <v>119</v>
      </c>
      <c r="N93">
        <v>12</v>
      </c>
      <c r="P93" t="str">
        <f ca="1"/>
        <v>אילת</v>
      </c>
      <c r="Q93" t="str">
        <f ca="1"/>
        <v>זיפ-יט</v>
      </c>
      <c r="R93" t="str">
        <f ca="1"/>
        <v>דחיסה</v>
      </c>
      <c r="S93">
        <f ca="1"/>
        <v>99</v>
      </c>
      <c r="T93">
        <f ca="1"/>
        <v>28</v>
      </c>
    </row>
    <row r="94" spans="1:20">
      <c r="A94" s="18" t="s">
        <v>700</v>
      </c>
      <c r="B94" s="19" t="s">
        <v>67</v>
      </c>
      <c r="C94" s="19" t="s">
        <v>42</v>
      </c>
      <c r="D94" s="19" t="s">
        <v>30</v>
      </c>
      <c r="E94" s="19">
        <v>59</v>
      </c>
      <c r="F94" s="19">
        <v>15</v>
      </c>
      <c r="G94" s="19" t="s">
        <v>69</v>
      </c>
      <c r="H94" s="20">
        <v>11747</v>
      </c>
      <c r="J94" t="str">
        <v>חיפה</v>
      </c>
      <c r="K94" t="str">
        <v>סוליטיר</v>
      </c>
      <c r="L94" t="str">
        <v>בידור</v>
      </c>
      <c r="M94">
        <v>119</v>
      </c>
      <c r="N94">
        <v>33</v>
      </c>
      <c r="P94" t="str">
        <f ca="1"/>
        <v>ראשון לציון</v>
      </c>
      <c r="Q94" t="str">
        <f ca="1"/>
        <v>בבילון</v>
      </c>
      <c r="R94" t="str">
        <f ca="1"/>
        <v>משרדית</v>
      </c>
      <c r="S94">
        <f ca="1"/>
        <v>99</v>
      </c>
      <c r="T94">
        <f ca="1"/>
        <v>25</v>
      </c>
    </row>
    <row r="95" spans="1:20">
      <c r="A95" s="18" t="s">
        <v>701</v>
      </c>
      <c r="B95" s="19" t="s">
        <v>49</v>
      </c>
      <c r="C95" s="19" t="s">
        <v>65</v>
      </c>
      <c r="D95" s="19" t="s">
        <v>58</v>
      </c>
      <c r="E95" s="19">
        <v>399</v>
      </c>
      <c r="F95" s="19">
        <v>15</v>
      </c>
      <c r="G95" s="19" t="s">
        <v>54</v>
      </c>
      <c r="H95" s="20">
        <v>3384</v>
      </c>
      <c r="J95" t="str">
        <v>חיפה</v>
      </c>
      <c r="K95" t="str">
        <v>סוליטיר</v>
      </c>
      <c r="L95" t="str">
        <v>בידור</v>
      </c>
      <c r="M95">
        <v>119</v>
      </c>
      <c r="N95">
        <v>32</v>
      </c>
      <c r="P95" t="str">
        <f ca="1"/>
        <v>מכבים</v>
      </c>
      <c r="Q95" t="str">
        <f ca="1"/>
        <v>פגפ</v>
      </c>
      <c r="R95" t="str">
        <f ca="1"/>
        <v>אבטחה</v>
      </c>
      <c r="S95">
        <f ca="1"/>
        <v>299</v>
      </c>
      <c r="T95">
        <f ca="1"/>
        <v>4</v>
      </c>
    </row>
    <row r="96" spans="1:20">
      <c r="A96" s="18" t="s">
        <v>702</v>
      </c>
      <c r="B96" s="19" t="s">
        <v>38</v>
      </c>
      <c r="C96" s="19" t="s">
        <v>75</v>
      </c>
      <c r="D96" s="19" t="s">
        <v>30</v>
      </c>
      <c r="E96" s="19">
        <v>350</v>
      </c>
      <c r="F96" s="19">
        <v>22</v>
      </c>
      <c r="G96" s="19" t="s">
        <v>41</v>
      </c>
      <c r="H96" s="20">
        <v>2832</v>
      </c>
      <c r="J96" t="str">
        <v>חיפה</v>
      </c>
      <c r="K96" t="str">
        <v>ווין-זיפ 8</v>
      </c>
      <c r="L96" t="str">
        <v>דחיסה</v>
      </c>
      <c r="M96">
        <v>199</v>
      </c>
      <c r="N96">
        <v>32</v>
      </c>
      <c r="P96" t="str">
        <f ca="1"/>
        <v>ירושלים</v>
      </c>
      <c r="Q96" t="str">
        <f ca="1"/>
        <v>פאוור פוינט</v>
      </c>
      <c r="R96" t="str">
        <f ca="1"/>
        <v>מצגות</v>
      </c>
      <c r="S96">
        <f ca="1"/>
        <v>175</v>
      </c>
      <c r="T96">
        <f ca="1"/>
        <v>2</v>
      </c>
    </row>
    <row r="97" spans="1:20">
      <c r="A97" s="18" t="s">
        <v>702</v>
      </c>
      <c r="B97" s="19" t="s">
        <v>28</v>
      </c>
      <c r="C97" s="19" t="s">
        <v>39</v>
      </c>
      <c r="D97" s="19" t="s">
        <v>40</v>
      </c>
      <c r="E97" s="19">
        <v>299</v>
      </c>
      <c r="F97" s="19">
        <v>18</v>
      </c>
      <c r="G97" s="19" t="s">
        <v>43</v>
      </c>
      <c r="H97" s="20">
        <v>2744</v>
      </c>
      <c r="J97" t="str">
        <v>חיפה</v>
      </c>
      <c r="K97" t="str">
        <v>ווין-זיפ 8</v>
      </c>
      <c r="L97" t="str">
        <v>דחיסה</v>
      </c>
      <c r="M97">
        <v>199</v>
      </c>
      <c r="N97">
        <v>23</v>
      </c>
      <c r="P97" t="str">
        <f ca="1"/>
        <v>חיפה</v>
      </c>
      <c r="Q97" t="str">
        <f ca="1"/>
        <v>נגן ריל פלייר 1</v>
      </c>
      <c r="R97" t="str">
        <f ca="1"/>
        <v>בידור</v>
      </c>
      <c r="S97">
        <f ca="1"/>
        <v>139</v>
      </c>
      <c r="T97">
        <f ca="1"/>
        <v>9</v>
      </c>
    </row>
    <row r="98" spans="1:20">
      <c r="A98" s="18" t="s">
        <v>703</v>
      </c>
      <c r="B98" s="19" t="s">
        <v>81</v>
      </c>
      <c r="C98" s="19" t="s">
        <v>29</v>
      </c>
      <c r="D98" s="19" t="s">
        <v>30</v>
      </c>
      <c r="E98" s="19">
        <v>899</v>
      </c>
      <c r="F98" s="19">
        <v>24</v>
      </c>
      <c r="G98" s="19" t="s">
        <v>82</v>
      </c>
      <c r="H98" s="20">
        <v>2822</v>
      </c>
      <c r="J98" t="str">
        <v>חיפה</v>
      </c>
      <c r="K98" t="str">
        <v>זיפ-יט</v>
      </c>
      <c r="L98" t="str">
        <v>דחיסה</v>
      </c>
      <c r="M98">
        <v>99</v>
      </c>
      <c r="N98">
        <v>5</v>
      </c>
      <c r="P98" t="str">
        <f ca="1"/>
        <v>ראשון לציון</v>
      </c>
      <c r="Q98" t="str">
        <f ca="1"/>
        <v>נגן ריל פלייר 1</v>
      </c>
      <c r="R98" t="str">
        <f ca="1"/>
        <v>בידור</v>
      </c>
      <c r="S98">
        <f ca="1"/>
        <v>139</v>
      </c>
      <c r="T98">
        <f ca="1"/>
        <v>7</v>
      </c>
    </row>
    <row r="99" spans="1:20">
      <c r="A99" s="18" t="s">
        <v>704</v>
      </c>
      <c r="B99" s="19" t="s">
        <v>67</v>
      </c>
      <c r="C99" s="19" t="s">
        <v>62</v>
      </c>
      <c r="D99" s="19" t="s">
        <v>33</v>
      </c>
      <c r="E99" s="19">
        <v>629</v>
      </c>
      <c r="F99" s="19">
        <v>2</v>
      </c>
      <c r="G99" s="19" t="s">
        <v>78</v>
      </c>
      <c r="H99" s="20">
        <v>16141</v>
      </c>
      <c r="J99" t="str">
        <v>חיפה</v>
      </c>
      <c r="K99" t="str">
        <v>זיפ-יט</v>
      </c>
      <c r="L99" t="str">
        <v>דחיסה</v>
      </c>
      <c r="M99">
        <v>99</v>
      </c>
      <c r="N99">
        <v>7</v>
      </c>
      <c r="P99" t="str">
        <f ca="1"/>
        <v>אילת</v>
      </c>
      <c r="Q99" t="str">
        <f ca="1"/>
        <v>נורטון</v>
      </c>
      <c r="R99" t="str">
        <f ca="1"/>
        <v>אנטיוירוס</v>
      </c>
      <c r="S99">
        <f ca="1"/>
        <v>629</v>
      </c>
      <c r="T99">
        <f ca="1"/>
        <v>2</v>
      </c>
    </row>
    <row r="100" spans="1:20">
      <c r="A100" s="18" t="s">
        <v>705</v>
      </c>
      <c r="B100" s="19" t="s">
        <v>38</v>
      </c>
      <c r="C100" s="19" t="s">
        <v>61</v>
      </c>
      <c r="D100" s="19" t="s">
        <v>45</v>
      </c>
      <c r="E100" s="19">
        <v>199</v>
      </c>
      <c r="F100" s="19">
        <v>24</v>
      </c>
      <c r="G100" s="19" t="s">
        <v>63</v>
      </c>
      <c r="H100" s="20">
        <v>14923</v>
      </c>
      <c r="J100" t="str">
        <v>חיפה</v>
      </c>
      <c r="K100" t="str">
        <v>אסטאונד</v>
      </c>
      <c r="L100" t="str">
        <v>מצגות</v>
      </c>
      <c r="M100">
        <v>399</v>
      </c>
      <c r="N100">
        <v>15</v>
      </c>
      <c r="P100" t="str">
        <f ca="1"/>
        <v>ירושלים</v>
      </c>
      <c r="Q100" t="str">
        <f ca="1"/>
        <v>נורטון</v>
      </c>
      <c r="R100" t="str">
        <f ca="1"/>
        <v>אנטיוירוס</v>
      </c>
      <c r="S100">
        <f ca="1"/>
        <v>629</v>
      </c>
      <c r="T100">
        <f ca="1"/>
        <v>28</v>
      </c>
    </row>
    <row r="101" spans="1:20">
      <c r="A101" s="18" t="s">
        <v>706</v>
      </c>
      <c r="B101" s="19" t="s">
        <v>38</v>
      </c>
      <c r="C101" s="19" t="s">
        <v>35</v>
      </c>
      <c r="D101" s="19" t="s">
        <v>30</v>
      </c>
      <c r="E101" s="19">
        <v>599</v>
      </c>
      <c r="F101" s="19">
        <v>19</v>
      </c>
      <c r="G101" s="19" t="s">
        <v>60</v>
      </c>
      <c r="H101" s="20">
        <v>11545</v>
      </c>
      <c r="J101" t="str">
        <v>חיפה</v>
      </c>
      <c r="K101" t="str">
        <v>אסטאונד</v>
      </c>
      <c r="L101" t="str">
        <v>מצגות</v>
      </c>
      <c r="M101">
        <v>399</v>
      </c>
      <c r="N101">
        <v>1</v>
      </c>
      <c r="P101" t="str">
        <f ca="1"/>
        <v>חיפה</v>
      </c>
      <c r="Q101" t="str">
        <f ca="1"/>
        <v>נגן ריל פלייר 1</v>
      </c>
      <c r="R101" t="str">
        <f ca="1"/>
        <v>בידור</v>
      </c>
      <c r="S101">
        <f ca="1"/>
        <v>139</v>
      </c>
      <c r="T101">
        <f ca="1"/>
        <v>30</v>
      </c>
    </row>
    <row r="102" spans="1:20">
      <c r="A102" s="18" t="s">
        <v>707</v>
      </c>
      <c r="B102" s="19" t="s">
        <v>81</v>
      </c>
      <c r="C102" s="19" t="s">
        <v>68</v>
      </c>
      <c r="D102" s="19" t="s">
        <v>40</v>
      </c>
      <c r="E102" s="19">
        <v>149</v>
      </c>
      <c r="F102" s="19">
        <v>14</v>
      </c>
      <c r="G102" s="19" t="s">
        <v>83</v>
      </c>
      <c r="H102" s="20">
        <v>5452</v>
      </c>
      <c r="J102" t="str">
        <v>חיפה</v>
      </c>
      <c r="K102" t="str">
        <v>פאוור פוינט</v>
      </c>
      <c r="L102" t="str">
        <v>מצגות</v>
      </c>
      <c r="M102">
        <v>175</v>
      </c>
      <c r="N102">
        <v>12</v>
      </c>
      <c r="P102" t="str">
        <f ca="1"/>
        <v>מכבים</v>
      </c>
      <c r="Q102" t="str">
        <f ca="1"/>
        <v>ברידג'</v>
      </c>
      <c r="R102" t="str">
        <f ca="1"/>
        <v>בידור</v>
      </c>
      <c r="S102">
        <f ca="1"/>
        <v>75</v>
      </c>
      <c r="T102">
        <f ca="1"/>
        <v>32</v>
      </c>
    </row>
    <row r="103" spans="1:20">
      <c r="A103" s="18" t="s">
        <v>707</v>
      </c>
      <c r="B103" s="19" t="s">
        <v>28</v>
      </c>
      <c r="C103" s="19" t="s">
        <v>75</v>
      </c>
      <c r="D103" s="19" t="s">
        <v>30</v>
      </c>
      <c r="E103" s="19">
        <v>350</v>
      </c>
      <c r="F103" s="19">
        <v>31</v>
      </c>
      <c r="G103" s="21" t="s">
        <v>36</v>
      </c>
      <c r="H103" s="20">
        <v>15415</v>
      </c>
      <c r="J103" t="str">
        <v>חיפה</v>
      </c>
      <c r="K103" t="str">
        <v>פאוור פוינט</v>
      </c>
      <c r="L103" t="str">
        <v>מצגות</v>
      </c>
      <c r="M103">
        <v>175</v>
      </c>
      <c r="N103">
        <v>6</v>
      </c>
      <c r="P103" t="str">
        <f ca="1"/>
        <v>ירושלים</v>
      </c>
      <c r="Q103" t="str">
        <f ca="1"/>
        <v>בבילון</v>
      </c>
      <c r="R103" t="str">
        <f ca="1"/>
        <v>משרדית</v>
      </c>
      <c r="S103">
        <f ca="1"/>
        <v>99</v>
      </c>
      <c r="T103">
        <f ca="1"/>
        <v>25</v>
      </c>
    </row>
    <row r="104" spans="1:20">
      <c r="A104" s="18" t="s">
        <v>708</v>
      </c>
      <c r="B104" s="19" t="s">
        <v>28</v>
      </c>
      <c r="C104" s="19" t="s">
        <v>73</v>
      </c>
      <c r="D104" s="19" t="s">
        <v>51</v>
      </c>
      <c r="E104" s="19">
        <v>119</v>
      </c>
      <c r="F104" s="19">
        <v>22</v>
      </c>
      <c r="G104" s="19" t="s">
        <v>31</v>
      </c>
      <c r="H104" s="20">
        <v>18083</v>
      </c>
      <c r="J104" t="str">
        <v>חיפה</v>
      </c>
      <c r="K104" t="str">
        <v>פאוור פוינט</v>
      </c>
      <c r="L104" t="str">
        <v>מצגות</v>
      </c>
      <c r="M104">
        <v>175</v>
      </c>
      <c r="N104">
        <v>2</v>
      </c>
      <c r="P104" t="str">
        <f ca="1"/>
        <v>אילת</v>
      </c>
      <c r="Q104" t="str">
        <f ca="1"/>
        <v>פאוור פוינט</v>
      </c>
      <c r="R104" t="str">
        <f ca="1"/>
        <v>מצגות</v>
      </c>
      <c r="S104">
        <f ca="1"/>
        <v>175</v>
      </c>
      <c r="T104">
        <f ca="1"/>
        <v>23</v>
      </c>
    </row>
    <row r="105" spans="1:20">
      <c r="A105" s="18" t="s">
        <v>709</v>
      </c>
      <c r="B105" s="19" t="s">
        <v>24</v>
      </c>
      <c r="C105" s="19" t="s">
        <v>25</v>
      </c>
      <c r="D105" s="19" t="s">
        <v>26</v>
      </c>
      <c r="E105" s="19">
        <v>280</v>
      </c>
      <c r="F105" s="19">
        <v>25</v>
      </c>
      <c r="G105" s="19" t="s">
        <v>76</v>
      </c>
      <c r="H105" s="20">
        <v>18631</v>
      </c>
      <c r="J105" t="str">
        <v>חיפה</v>
      </c>
      <c r="K105" t="str">
        <v>פאוור פוינט</v>
      </c>
      <c r="L105" t="str">
        <v>מצגות</v>
      </c>
      <c r="M105">
        <v>175</v>
      </c>
      <c r="N105">
        <v>24</v>
      </c>
      <c r="P105" t="str">
        <f ca="1"/>
        <v>מכבים</v>
      </c>
      <c r="Q105" t="str">
        <f ca="1"/>
        <v>אקסס</v>
      </c>
      <c r="R105" t="str">
        <f ca="1"/>
        <v>משרדית</v>
      </c>
      <c r="S105">
        <f ca="1"/>
        <v>95</v>
      </c>
      <c r="T105">
        <f ca="1"/>
        <v>6</v>
      </c>
    </row>
    <row r="106" spans="1:20">
      <c r="A106" s="18" t="s">
        <v>710</v>
      </c>
      <c r="B106" s="19" t="s">
        <v>28</v>
      </c>
      <c r="C106" s="19" t="s">
        <v>62</v>
      </c>
      <c r="D106" s="19" t="s">
        <v>33</v>
      </c>
      <c r="E106" s="19">
        <v>629</v>
      </c>
      <c r="F106" s="19">
        <v>2</v>
      </c>
      <c r="G106" s="19" t="s">
        <v>31</v>
      </c>
      <c r="H106" s="20">
        <v>15241</v>
      </c>
      <c r="J106" t="str">
        <v>חיפה</v>
      </c>
      <c r="K106" t="str">
        <v>פאוור פוינט</v>
      </c>
      <c r="L106" t="str">
        <v>מצגות</v>
      </c>
      <c r="M106">
        <v>175</v>
      </c>
      <c r="N106">
        <v>18</v>
      </c>
      <c r="P106" t="str">
        <f ca="1"/>
        <v>ראשון לציון</v>
      </c>
      <c r="Q106" t="str">
        <f ca="1"/>
        <v>וורד</v>
      </c>
      <c r="R106" t="str">
        <f ca="1"/>
        <v>משרדית</v>
      </c>
      <c r="S106">
        <f ca="1"/>
        <v>350</v>
      </c>
      <c r="T106">
        <f ca="1"/>
        <v>26</v>
      </c>
    </row>
    <row r="107" spans="1:20">
      <c r="A107" s="18" t="s">
        <v>710</v>
      </c>
      <c r="B107" s="19" t="s">
        <v>55</v>
      </c>
      <c r="C107" s="19" t="s">
        <v>61</v>
      </c>
      <c r="D107" s="19" t="s">
        <v>45</v>
      </c>
      <c r="E107" s="19">
        <v>199</v>
      </c>
      <c r="F107" s="19">
        <v>25</v>
      </c>
      <c r="G107" s="19" t="s">
        <v>59</v>
      </c>
      <c r="H107" s="20">
        <v>5593</v>
      </c>
      <c r="J107" t="str">
        <v>חיפה</v>
      </c>
      <c r="K107" t="str">
        <v>אקסל</v>
      </c>
      <c r="L107" t="str">
        <v>משרדית</v>
      </c>
      <c r="M107">
        <v>555</v>
      </c>
      <c r="N107">
        <v>6</v>
      </c>
      <c r="P107" t="str">
        <f ca="1"/>
        <v>חיפה</v>
      </c>
      <c r="Q107" t="str">
        <f ca="1"/>
        <v>נגן ריל פלייר 1</v>
      </c>
      <c r="R107" t="str">
        <f ca="1"/>
        <v>בידור</v>
      </c>
      <c r="S107">
        <f ca="1"/>
        <v>139</v>
      </c>
      <c r="T107">
        <f ca="1"/>
        <v>26</v>
      </c>
    </row>
    <row r="108" spans="1:20">
      <c r="A108" s="18" t="s">
        <v>711</v>
      </c>
      <c r="B108" s="19" t="s">
        <v>49</v>
      </c>
      <c r="C108" s="19" t="s">
        <v>47</v>
      </c>
      <c r="D108" s="19" t="s">
        <v>30</v>
      </c>
      <c r="E108" s="19">
        <v>99</v>
      </c>
      <c r="F108" s="19">
        <v>31</v>
      </c>
      <c r="G108" s="19" t="s">
        <v>54</v>
      </c>
      <c r="H108" s="20">
        <v>9874</v>
      </c>
      <c r="J108" t="str">
        <v>חיפה</v>
      </c>
      <c r="K108" t="str">
        <v>אקסל</v>
      </c>
      <c r="L108" t="str">
        <v>משרדית</v>
      </c>
      <c r="M108">
        <v>555</v>
      </c>
      <c r="N108">
        <v>3</v>
      </c>
      <c r="P108" t="str">
        <f ca="1"/>
        <v>תל אביב</v>
      </c>
      <c r="Q108" t="str">
        <f ca="1"/>
        <v>קורל דרו</v>
      </c>
      <c r="R108" t="str">
        <f ca="1"/>
        <v>שרטוט</v>
      </c>
      <c r="S108">
        <f ca="1"/>
        <v>280</v>
      </c>
      <c r="T108">
        <f ca="1"/>
        <v>1</v>
      </c>
    </row>
    <row r="109" spans="1:20">
      <c r="A109" s="18" t="s">
        <v>712</v>
      </c>
      <c r="B109" s="19" t="s">
        <v>55</v>
      </c>
      <c r="C109" s="19" t="s">
        <v>42</v>
      </c>
      <c r="D109" s="19" t="s">
        <v>30</v>
      </c>
      <c r="E109" s="19">
        <v>59</v>
      </c>
      <c r="F109" s="19">
        <v>29</v>
      </c>
      <c r="G109" s="19" t="s">
        <v>56</v>
      </c>
      <c r="H109" s="20">
        <v>12073</v>
      </c>
      <c r="J109" t="str">
        <v>חיפה</v>
      </c>
      <c r="K109" t="str">
        <v>אקסס</v>
      </c>
      <c r="L109" t="str">
        <v>משרדית</v>
      </c>
      <c r="M109">
        <v>95</v>
      </c>
      <c r="N109">
        <v>7</v>
      </c>
      <c r="P109" t="str">
        <f ca="1"/>
        <v>תל אביב</v>
      </c>
      <c r="Q109" t="str">
        <f ca="1"/>
        <v>ברידג'</v>
      </c>
      <c r="R109" t="str">
        <f ca="1"/>
        <v>בידור</v>
      </c>
      <c r="S109">
        <f ca="1"/>
        <v>75</v>
      </c>
      <c r="T109">
        <f ca="1"/>
        <v>12</v>
      </c>
    </row>
    <row r="110" spans="1:20">
      <c r="A110" s="18" t="s">
        <v>712</v>
      </c>
      <c r="B110" s="19" t="s">
        <v>24</v>
      </c>
      <c r="C110" s="19" t="s">
        <v>61</v>
      </c>
      <c r="D110" s="19" t="s">
        <v>45</v>
      </c>
      <c r="E110" s="19">
        <v>199</v>
      </c>
      <c r="F110" s="19">
        <v>29</v>
      </c>
      <c r="G110" s="19" t="s">
        <v>46</v>
      </c>
      <c r="H110" s="20">
        <v>18191</v>
      </c>
      <c r="J110" t="str">
        <v>חיפה</v>
      </c>
      <c r="K110" t="str">
        <v>אקסס</v>
      </c>
      <c r="L110" t="str">
        <v>משרדית</v>
      </c>
      <c r="M110">
        <v>95</v>
      </c>
      <c r="N110">
        <v>11</v>
      </c>
      <c r="P110" t="str">
        <f ca="1"/>
        <v>חיפה</v>
      </c>
      <c r="Q110" t="str">
        <f ca="1"/>
        <v>יודורה</v>
      </c>
      <c r="R110" t="str">
        <f ca="1"/>
        <v>משרדית</v>
      </c>
      <c r="S110">
        <f ca="1"/>
        <v>59</v>
      </c>
      <c r="T110">
        <f ca="1"/>
        <v>20</v>
      </c>
    </row>
    <row r="111" spans="1:20">
      <c r="A111" s="18" t="s">
        <v>713</v>
      </c>
      <c r="B111" s="19" t="s">
        <v>24</v>
      </c>
      <c r="C111" s="19" t="s">
        <v>44</v>
      </c>
      <c r="D111" s="19" t="s">
        <v>45</v>
      </c>
      <c r="E111" s="19">
        <v>99</v>
      </c>
      <c r="F111" s="19">
        <v>30</v>
      </c>
      <c r="G111" s="19" t="s">
        <v>37</v>
      </c>
      <c r="H111" s="20">
        <v>8300</v>
      </c>
      <c r="J111" t="str">
        <v>חיפה</v>
      </c>
      <c r="K111" t="str">
        <v>אקרובט</v>
      </c>
      <c r="L111" t="str">
        <v>משרדית</v>
      </c>
      <c r="M111">
        <v>599</v>
      </c>
      <c r="N111">
        <v>3</v>
      </c>
      <c r="P111" t="str">
        <f ca="1"/>
        <v>חיפה</v>
      </c>
      <c r="Q111" t="str">
        <f ca="1"/>
        <v>נורטון</v>
      </c>
      <c r="R111" t="str">
        <f ca="1"/>
        <v>אנטיוירוס</v>
      </c>
      <c r="S111">
        <f ca="1"/>
        <v>629</v>
      </c>
      <c r="T111">
        <f ca="1"/>
        <v>22</v>
      </c>
    </row>
    <row r="112" spans="1:20">
      <c r="A112" s="18" t="s">
        <v>713</v>
      </c>
      <c r="B112" s="19" t="s">
        <v>28</v>
      </c>
      <c r="C112" s="19" t="s">
        <v>35</v>
      </c>
      <c r="D112" s="19" t="s">
        <v>30</v>
      </c>
      <c r="E112" s="19">
        <v>599</v>
      </c>
      <c r="F112" s="19">
        <v>7</v>
      </c>
      <c r="G112" s="21" t="s">
        <v>36</v>
      </c>
      <c r="H112" s="20">
        <v>14134</v>
      </c>
      <c r="J112" t="str">
        <v>חיפה</v>
      </c>
      <c r="K112" t="str">
        <v>אקרובט</v>
      </c>
      <c r="L112" t="str">
        <v>משרדית</v>
      </c>
      <c r="M112">
        <v>599</v>
      </c>
      <c r="N112">
        <v>33</v>
      </c>
      <c r="P112" t="str">
        <f ca="1"/>
        <v>תל אביב</v>
      </c>
      <c r="Q112" t="str">
        <f ca="1"/>
        <v>פרו-פורט</v>
      </c>
      <c r="R112" t="str">
        <f ca="1"/>
        <v>אבטחה</v>
      </c>
      <c r="S112">
        <f ca="1"/>
        <v>149</v>
      </c>
      <c r="T112">
        <f ca="1"/>
        <v>3</v>
      </c>
    </row>
    <row r="113" spans="1:20">
      <c r="A113" s="18" t="s">
        <v>713</v>
      </c>
      <c r="B113" s="19" t="s">
        <v>24</v>
      </c>
      <c r="C113" s="19" t="s">
        <v>47</v>
      </c>
      <c r="D113" s="19" t="s">
        <v>30</v>
      </c>
      <c r="E113" s="19">
        <v>99</v>
      </c>
      <c r="F113" s="19">
        <v>13</v>
      </c>
      <c r="G113" s="19" t="s">
        <v>76</v>
      </c>
      <c r="H113" s="20">
        <v>5616</v>
      </c>
      <c r="J113" t="str">
        <v>חיפה</v>
      </c>
      <c r="K113" t="str">
        <v>בבילון</v>
      </c>
      <c r="L113" t="str">
        <v>משרדית</v>
      </c>
      <c r="M113">
        <v>99</v>
      </c>
      <c r="N113">
        <v>31</v>
      </c>
      <c r="P113" t="str">
        <f ca="1"/>
        <v>תל אביב</v>
      </c>
      <c r="Q113" t="str">
        <f ca="1"/>
        <v>וורד</v>
      </c>
      <c r="R113" t="str">
        <f ca="1"/>
        <v>משרדית</v>
      </c>
      <c r="S113">
        <f ca="1"/>
        <v>350</v>
      </c>
      <c r="T113">
        <f ca="1"/>
        <v>31</v>
      </c>
    </row>
    <row r="114" spans="1:20">
      <c r="A114" s="18" t="s">
        <v>714</v>
      </c>
      <c r="B114" s="19" t="s">
        <v>49</v>
      </c>
      <c r="C114" s="19" t="s">
        <v>75</v>
      </c>
      <c r="D114" s="19" t="s">
        <v>30</v>
      </c>
      <c r="E114" s="19">
        <v>350</v>
      </c>
      <c r="F114" s="19">
        <v>32</v>
      </c>
      <c r="G114" s="19" t="s">
        <v>54</v>
      </c>
      <c r="H114" s="20">
        <v>7117</v>
      </c>
      <c r="J114" t="str">
        <v>חיפה</v>
      </c>
      <c r="K114" t="str">
        <v>בבילון</v>
      </c>
      <c r="L114" t="str">
        <v>משרדית</v>
      </c>
      <c r="M114">
        <v>99</v>
      </c>
      <c r="N114">
        <v>19</v>
      </c>
      <c r="P114" t="str">
        <f ca="1"/>
        <v>מכבים</v>
      </c>
      <c r="Q114" t="str">
        <f ca="1"/>
        <v>ברידג'</v>
      </c>
      <c r="R114" t="str">
        <f ca="1"/>
        <v>בידור</v>
      </c>
      <c r="S114">
        <f ca="1"/>
        <v>75</v>
      </c>
      <c r="T114">
        <f ca="1"/>
        <v>23</v>
      </c>
    </row>
    <row r="115" spans="1:20">
      <c r="A115" s="18" t="s">
        <v>715</v>
      </c>
      <c r="B115" s="19" t="s">
        <v>55</v>
      </c>
      <c r="C115" s="19" t="s">
        <v>53</v>
      </c>
      <c r="D115" s="19" t="s">
        <v>40</v>
      </c>
      <c r="E115" s="19">
        <v>229</v>
      </c>
      <c r="F115" s="19">
        <v>32</v>
      </c>
      <c r="G115" s="19" t="s">
        <v>80</v>
      </c>
      <c r="H115" s="20">
        <v>2939</v>
      </c>
      <c r="J115" t="str">
        <v>חיפה</v>
      </c>
      <c r="K115" t="str">
        <v>וורד</v>
      </c>
      <c r="L115" t="str">
        <v>משרדית</v>
      </c>
      <c r="M115">
        <v>350</v>
      </c>
      <c r="N115">
        <v>3</v>
      </c>
      <c r="P115" t="str">
        <f ca="1"/>
        <v>קרית שמונה</v>
      </c>
      <c r="Q115" t="str">
        <f ca="1"/>
        <v>נגן ריל פלייר 1</v>
      </c>
      <c r="R115" t="str">
        <f ca="1"/>
        <v>בידור</v>
      </c>
      <c r="S115">
        <f ca="1"/>
        <v>139</v>
      </c>
      <c r="T115">
        <f ca="1"/>
        <v>24</v>
      </c>
    </row>
    <row r="116" spans="1:20">
      <c r="A116" s="18" t="s">
        <v>715</v>
      </c>
      <c r="B116" s="19" t="s">
        <v>24</v>
      </c>
      <c r="C116" s="19" t="s">
        <v>35</v>
      </c>
      <c r="D116" s="19" t="s">
        <v>30</v>
      </c>
      <c r="E116" s="19">
        <v>599</v>
      </c>
      <c r="F116" s="19">
        <v>31</v>
      </c>
      <c r="G116" s="19" t="s">
        <v>37</v>
      </c>
      <c r="H116" s="20">
        <v>3308</v>
      </c>
      <c r="J116" t="str">
        <v>חיפה</v>
      </c>
      <c r="K116" t="str">
        <v>וורד</v>
      </c>
      <c r="L116" t="str">
        <v>משרדית</v>
      </c>
      <c r="M116">
        <v>350</v>
      </c>
      <c r="N116">
        <v>32</v>
      </c>
      <c r="P116" t="str">
        <f ca="1"/>
        <v>אילת</v>
      </c>
      <c r="Q116" t="str">
        <f ca="1"/>
        <v>ברידג'</v>
      </c>
      <c r="R116" t="str">
        <f ca="1"/>
        <v>בידור</v>
      </c>
      <c r="S116">
        <f ca="1"/>
        <v>75</v>
      </c>
      <c r="T116">
        <f ca="1"/>
        <v>22</v>
      </c>
    </row>
    <row r="117" spans="1:20">
      <c r="A117" s="18" t="s">
        <v>715</v>
      </c>
      <c r="B117" s="19" t="s">
        <v>55</v>
      </c>
      <c r="C117" s="19" t="s">
        <v>57</v>
      </c>
      <c r="D117" s="19" t="s">
        <v>58</v>
      </c>
      <c r="E117" s="19">
        <v>175</v>
      </c>
      <c r="F117" s="19">
        <v>25</v>
      </c>
      <c r="G117" s="19" t="s">
        <v>66</v>
      </c>
      <c r="H117" s="20">
        <v>12640</v>
      </c>
      <c r="J117" t="str">
        <v>חיפה</v>
      </c>
      <c r="K117" t="str">
        <v>וורד</v>
      </c>
      <c r="L117" t="str">
        <v>משרדית</v>
      </c>
      <c r="M117">
        <v>350</v>
      </c>
      <c r="N117">
        <v>10</v>
      </c>
      <c r="P117" t="str">
        <f ca="1"/>
        <v>ירושלים</v>
      </c>
      <c r="Q117" t="str">
        <f ca="1"/>
        <v>אקסס</v>
      </c>
      <c r="R117" t="str">
        <f ca="1"/>
        <v>משרדית</v>
      </c>
      <c r="S117">
        <f ca="1"/>
        <v>95</v>
      </c>
      <c r="T117">
        <f ca="1"/>
        <v>14</v>
      </c>
    </row>
    <row r="118" spans="1:20">
      <c r="A118" s="18">
        <v>44930</v>
      </c>
      <c r="B118" s="19" t="s">
        <v>24</v>
      </c>
      <c r="C118" s="19" t="s">
        <v>85</v>
      </c>
      <c r="D118" s="19" t="s">
        <v>51</v>
      </c>
      <c r="E118" s="19">
        <v>75</v>
      </c>
      <c r="F118" s="19">
        <v>14</v>
      </c>
      <c r="G118" s="19" t="s">
        <v>76</v>
      </c>
      <c r="H118" s="20">
        <v>2494</v>
      </c>
      <c r="J118" t="str">
        <v>חיפה</v>
      </c>
      <c r="K118" t="str">
        <v>וורד</v>
      </c>
      <c r="L118" t="str">
        <v>משרדית</v>
      </c>
      <c r="M118">
        <v>350</v>
      </c>
      <c r="N118">
        <v>22</v>
      </c>
      <c r="P118" t="str">
        <f ca="1"/>
        <v>ירושלים</v>
      </c>
      <c r="Q118" t="str">
        <f ca="1"/>
        <v>פגפ</v>
      </c>
      <c r="R118" t="str">
        <f ca="1"/>
        <v>אבטחה</v>
      </c>
      <c r="S118">
        <f ca="1"/>
        <v>299</v>
      </c>
      <c r="T118">
        <f ca="1"/>
        <v>32</v>
      </c>
    </row>
    <row r="119" spans="1:20">
      <c r="A119" s="18">
        <v>44930</v>
      </c>
      <c r="B119" s="19" t="s">
        <v>38</v>
      </c>
      <c r="C119" s="19" t="s">
        <v>62</v>
      </c>
      <c r="D119" s="19" t="s">
        <v>33</v>
      </c>
      <c r="E119" s="19">
        <v>629</v>
      </c>
      <c r="F119" s="19">
        <v>6</v>
      </c>
      <c r="G119" s="19" t="s">
        <v>60</v>
      </c>
      <c r="H119" s="20">
        <v>16484</v>
      </c>
      <c r="J119" t="str">
        <v>חיפה</v>
      </c>
      <c r="K119" t="str">
        <v>וורד</v>
      </c>
      <c r="L119" t="str">
        <v>משרדית</v>
      </c>
      <c r="M119">
        <v>350</v>
      </c>
      <c r="N119">
        <v>18</v>
      </c>
      <c r="P119" t="str">
        <f ca="1"/>
        <v>קרית שמונה</v>
      </c>
      <c r="Q119" t="str">
        <f ca="1"/>
        <v>סוליטיר</v>
      </c>
      <c r="R119" t="str">
        <f ca="1"/>
        <v>בידור</v>
      </c>
      <c r="S119">
        <f ca="1"/>
        <v>119</v>
      </c>
      <c r="T119">
        <f ca="1"/>
        <v>12</v>
      </c>
    </row>
    <row r="120" spans="1:20">
      <c r="A120" s="18">
        <v>44930</v>
      </c>
      <c r="B120" s="19" t="s">
        <v>81</v>
      </c>
      <c r="C120" s="19" t="s">
        <v>75</v>
      </c>
      <c r="D120" s="19" t="s">
        <v>30</v>
      </c>
      <c r="E120" s="19">
        <v>350</v>
      </c>
      <c r="F120" s="19">
        <v>8</v>
      </c>
      <c r="G120" s="19" t="s">
        <v>82</v>
      </c>
      <c r="H120" s="20">
        <v>13341</v>
      </c>
      <c r="J120" t="str">
        <v>חיפה</v>
      </c>
      <c r="K120" t="str">
        <v>יודורה</v>
      </c>
      <c r="L120" t="str">
        <v>משרדית</v>
      </c>
      <c r="M120">
        <v>59</v>
      </c>
      <c r="N120">
        <v>20</v>
      </c>
      <c r="P120" t="str">
        <f ca="1"/>
        <v>תל אביב</v>
      </c>
      <c r="Q120" t="str">
        <f ca="1"/>
        <v>נורטון</v>
      </c>
      <c r="R120" t="str">
        <f ca="1"/>
        <v>אנטיוירוס</v>
      </c>
      <c r="S120">
        <f ca="1"/>
        <v>629</v>
      </c>
      <c r="T120">
        <f ca="1"/>
        <v>2</v>
      </c>
    </row>
    <row r="121" spans="1:20">
      <c r="A121" s="18">
        <v>44930</v>
      </c>
      <c r="B121" s="19" t="s">
        <v>24</v>
      </c>
      <c r="C121" s="19" t="s">
        <v>71</v>
      </c>
      <c r="D121" s="19" t="s">
        <v>30</v>
      </c>
      <c r="E121" s="19">
        <v>555</v>
      </c>
      <c r="F121" s="19">
        <v>11</v>
      </c>
      <c r="G121" s="19" t="s">
        <v>76</v>
      </c>
      <c r="H121" s="20">
        <v>3491</v>
      </c>
      <c r="J121" t="str">
        <v>חיפה</v>
      </c>
      <c r="K121" t="str">
        <v>פנל תמיכת החלטות</v>
      </c>
      <c r="L121" t="str">
        <v>משרדית</v>
      </c>
      <c r="M121">
        <v>899</v>
      </c>
      <c r="N121">
        <v>31</v>
      </c>
      <c r="P121" t="str">
        <f ca="1"/>
        <v>קרית שמונה</v>
      </c>
      <c r="Q121" t="str">
        <f ca="1"/>
        <v>נגן ריל פלייר 1</v>
      </c>
      <c r="R121" t="str">
        <f ca="1"/>
        <v>בידור</v>
      </c>
      <c r="S121">
        <f ca="1"/>
        <v>139</v>
      </c>
      <c r="T121">
        <f ca="1"/>
        <v>12</v>
      </c>
    </row>
    <row r="122" spans="1:20">
      <c r="A122" s="18">
        <v>44961</v>
      </c>
      <c r="B122" s="19" t="s">
        <v>38</v>
      </c>
      <c r="C122" s="19" t="s">
        <v>48</v>
      </c>
      <c r="D122" s="19" t="s">
        <v>30</v>
      </c>
      <c r="E122" s="19">
        <v>95</v>
      </c>
      <c r="F122" s="19">
        <v>19</v>
      </c>
      <c r="G122" s="19" t="s">
        <v>64</v>
      </c>
      <c r="H122" s="20">
        <v>9272</v>
      </c>
      <c r="J122" t="str">
        <v>חיפה</v>
      </c>
      <c r="K122" t="str">
        <v>פנל תמיכת החלטות</v>
      </c>
      <c r="L122" t="str">
        <v>משרדית</v>
      </c>
      <c r="M122">
        <v>899</v>
      </c>
      <c r="N122">
        <v>26</v>
      </c>
      <c r="P122" t="str">
        <f ca="1"/>
        <v>ראשון לציון</v>
      </c>
      <c r="Q122" t="str">
        <f ca="1"/>
        <v>פגפ</v>
      </c>
      <c r="R122" t="str">
        <f ca="1"/>
        <v>אבטחה</v>
      </c>
      <c r="S122">
        <f ca="1"/>
        <v>299</v>
      </c>
      <c r="T122">
        <f ca="1"/>
        <v>6</v>
      </c>
    </row>
    <row r="123" spans="1:20">
      <c r="A123" s="18">
        <v>45050</v>
      </c>
      <c r="B123" s="19" t="s">
        <v>67</v>
      </c>
      <c r="C123" s="19" t="s">
        <v>42</v>
      </c>
      <c r="D123" s="19" t="s">
        <v>30</v>
      </c>
      <c r="E123" s="19">
        <v>59</v>
      </c>
      <c r="F123" s="19">
        <v>7</v>
      </c>
      <c r="G123" s="19" t="s">
        <v>78</v>
      </c>
      <c r="H123" s="20">
        <v>13455</v>
      </c>
      <c r="J123" t="str">
        <v>חיפה</v>
      </c>
      <c r="K123" t="str">
        <v>קורל דרו</v>
      </c>
      <c r="L123" t="str">
        <v>שרטוט</v>
      </c>
      <c r="M123">
        <v>280</v>
      </c>
      <c r="N123">
        <v>17</v>
      </c>
      <c r="P123" t="str">
        <f ca="1"/>
        <v>מכבים</v>
      </c>
      <c r="Q123" t="str">
        <f ca="1"/>
        <v>ווין-זיפ 8</v>
      </c>
      <c r="R123" t="str">
        <f ca="1"/>
        <v>דחיסה</v>
      </c>
      <c r="S123">
        <f ca="1"/>
        <v>199</v>
      </c>
      <c r="T123">
        <f ca="1"/>
        <v>5</v>
      </c>
    </row>
    <row r="124" spans="1:20">
      <c r="A124" s="18">
        <v>45050</v>
      </c>
      <c r="B124" s="19" t="s">
        <v>49</v>
      </c>
      <c r="C124" s="19" t="s">
        <v>50</v>
      </c>
      <c r="D124" s="19" t="s">
        <v>51</v>
      </c>
      <c r="E124" s="19">
        <v>139</v>
      </c>
      <c r="F124" s="19">
        <v>16</v>
      </c>
      <c r="G124" s="19" t="s">
        <v>70</v>
      </c>
      <c r="H124" s="20">
        <v>3166</v>
      </c>
      <c r="J124" t="str">
        <v>חיפה</v>
      </c>
      <c r="K124" t="str">
        <v>קורל דרו</v>
      </c>
      <c r="L124" t="str">
        <v>שרטוט</v>
      </c>
      <c r="M124">
        <v>280</v>
      </c>
      <c r="N124">
        <v>30</v>
      </c>
      <c r="P124" t="str">
        <f ca="1"/>
        <v>ירושלים</v>
      </c>
      <c r="Q124" t="str">
        <f ca="1"/>
        <v>איריס</v>
      </c>
      <c r="R124" t="str">
        <f ca="1"/>
        <v>אנטיוירוס</v>
      </c>
      <c r="S124">
        <f ca="1"/>
        <v>499</v>
      </c>
      <c r="T124">
        <f ca="1"/>
        <v>20</v>
      </c>
    </row>
    <row r="125" spans="1:20">
      <c r="A125" s="18">
        <v>45142</v>
      </c>
      <c r="B125" s="19" t="s">
        <v>81</v>
      </c>
      <c r="C125" s="19" t="s">
        <v>73</v>
      </c>
      <c r="D125" s="19" t="s">
        <v>51</v>
      </c>
      <c r="E125" s="19">
        <v>119</v>
      </c>
      <c r="F125" s="19">
        <v>33</v>
      </c>
      <c r="G125" s="19" t="s">
        <v>82</v>
      </c>
      <c r="H125" s="20">
        <v>1350</v>
      </c>
      <c r="J125" t="str">
        <v>חיפה</v>
      </c>
      <c r="K125" t="str">
        <v>קורל דרו</v>
      </c>
      <c r="L125" t="str">
        <v>שרטוט</v>
      </c>
      <c r="M125">
        <v>280</v>
      </c>
      <c r="N125">
        <v>2</v>
      </c>
      <c r="P125" t="str">
        <f ca="1"/>
        <v>תל אביב</v>
      </c>
      <c r="Q125" t="str">
        <f ca="1"/>
        <v>ווין-זיפ 8</v>
      </c>
      <c r="R125" t="str">
        <f ca="1"/>
        <v>דחיסה</v>
      </c>
      <c r="S125">
        <f ca="1"/>
        <v>199</v>
      </c>
      <c r="T125">
        <f ca="1"/>
        <v>26</v>
      </c>
    </row>
    <row r="126" spans="1:20">
      <c r="A126" s="18">
        <v>45203</v>
      </c>
      <c r="B126" s="19" t="s">
        <v>55</v>
      </c>
      <c r="C126" s="19" t="s">
        <v>62</v>
      </c>
      <c r="D126" s="19" t="s">
        <v>33</v>
      </c>
      <c r="E126" s="19">
        <v>629</v>
      </c>
      <c r="F126" s="19">
        <v>12</v>
      </c>
      <c r="G126" s="19" t="s">
        <v>56</v>
      </c>
      <c r="H126" s="20">
        <v>18846</v>
      </c>
      <c r="J126" t="str">
        <v>חיפה</v>
      </c>
      <c r="K126" t="str">
        <v>קורל דרו</v>
      </c>
      <c r="L126" t="str">
        <v>שרטוט</v>
      </c>
      <c r="M126">
        <v>280</v>
      </c>
      <c r="N126">
        <v>9</v>
      </c>
      <c r="P126" t="str">
        <f ca="1"/>
        <v>מכבים</v>
      </c>
      <c r="Q126" t="str">
        <f ca="1"/>
        <v>וורד</v>
      </c>
      <c r="R126" t="str">
        <f ca="1"/>
        <v>משרדית</v>
      </c>
      <c r="S126">
        <f ca="1"/>
        <v>350</v>
      </c>
      <c r="T126">
        <f ca="1"/>
        <v>7</v>
      </c>
    </row>
    <row r="127" spans="1:20">
      <c r="A127" s="18">
        <v>45234</v>
      </c>
      <c r="B127" s="19" t="s">
        <v>67</v>
      </c>
      <c r="C127" s="19" t="s">
        <v>50</v>
      </c>
      <c r="D127" s="19" t="s">
        <v>51</v>
      </c>
      <c r="E127" s="19">
        <v>139</v>
      </c>
      <c r="F127" s="19">
        <v>6</v>
      </c>
      <c r="G127" s="19" t="s">
        <v>69</v>
      </c>
      <c r="H127" s="20">
        <v>6433</v>
      </c>
      <c r="J127" t="str">
        <v>חיפה</v>
      </c>
      <c r="K127" t="str">
        <v>קורל דרו</v>
      </c>
      <c r="L127" t="str">
        <v>שרטוט</v>
      </c>
      <c r="M127">
        <v>280</v>
      </c>
      <c r="N127">
        <v>32</v>
      </c>
      <c r="P127" t="str">
        <f ca="1"/>
        <v>קרית שמונה</v>
      </c>
      <c r="Q127" t="str">
        <f ca="1"/>
        <v>אקרובט</v>
      </c>
      <c r="R127" t="str">
        <f ca="1"/>
        <v>משרדית</v>
      </c>
      <c r="S127">
        <f ca="1"/>
        <v>599</v>
      </c>
      <c r="T127">
        <f ca="1"/>
        <v>14</v>
      </c>
    </row>
    <row r="128" spans="1:20">
      <c r="A128" s="18">
        <v>45234</v>
      </c>
      <c r="B128" s="19" t="s">
        <v>49</v>
      </c>
      <c r="C128" s="19" t="s">
        <v>53</v>
      </c>
      <c r="D128" s="19" t="s">
        <v>40</v>
      </c>
      <c r="E128" s="19">
        <v>229</v>
      </c>
      <c r="F128" s="19">
        <v>6</v>
      </c>
      <c r="G128" s="19" t="s">
        <v>52</v>
      </c>
      <c r="H128" s="20">
        <v>11618</v>
      </c>
      <c r="J128" t="str">
        <v>חיפה</v>
      </c>
      <c r="K128" t="str">
        <v>קורל דרו</v>
      </c>
      <c r="L128" t="str">
        <v>שרטוט</v>
      </c>
      <c r="M128">
        <v>280</v>
      </c>
      <c r="N128">
        <v>33</v>
      </c>
      <c r="P128" t="str">
        <f ca="1"/>
        <v>חיפה</v>
      </c>
      <c r="Q128" t="str">
        <f ca="1"/>
        <v>קורל דרו</v>
      </c>
      <c r="R128" t="str">
        <f ca="1"/>
        <v>שרטוט</v>
      </c>
      <c r="S128">
        <f ca="1"/>
        <v>280</v>
      </c>
      <c r="T128">
        <f ca="1"/>
        <v>9</v>
      </c>
    </row>
    <row r="129" spans="1:20">
      <c r="A129" s="18">
        <v>45264</v>
      </c>
      <c r="B129" s="19" t="s">
        <v>24</v>
      </c>
      <c r="C129" s="19" t="s">
        <v>50</v>
      </c>
      <c r="D129" s="19" t="s">
        <v>51</v>
      </c>
      <c r="E129" s="19">
        <v>139</v>
      </c>
      <c r="F129" s="19">
        <v>5</v>
      </c>
      <c r="G129" s="19" t="s">
        <v>27</v>
      </c>
      <c r="H129" s="20">
        <v>3119</v>
      </c>
      <c r="J129" t="str">
        <v>חיפה</v>
      </c>
      <c r="K129" t="str">
        <v>קורל דרו</v>
      </c>
      <c r="L129" t="str">
        <v>שרטוט</v>
      </c>
      <c r="M129">
        <v>280</v>
      </c>
      <c r="N129">
        <v>9</v>
      </c>
      <c r="P129" t="str">
        <f ca="1"/>
        <v>אילת</v>
      </c>
      <c r="Q129" t="str">
        <f ca="1"/>
        <v>פגפ</v>
      </c>
      <c r="R129" t="str">
        <f ca="1"/>
        <v>אבטחה</v>
      </c>
      <c r="S129">
        <f ca="1"/>
        <v>299</v>
      </c>
      <c r="T129">
        <f ca="1"/>
        <v>6</v>
      </c>
    </row>
    <row r="130" spans="1:20">
      <c r="A130" s="18" t="s">
        <v>716</v>
      </c>
      <c r="B130" s="19" t="s">
        <v>81</v>
      </c>
      <c r="C130" s="19" t="s">
        <v>44</v>
      </c>
      <c r="D130" s="19" t="s">
        <v>45</v>
      </c>
      <c r="E130" s="19">
        <v>99</v>
      </c>
      <c r="F130" s="19">
        <v>32</v>
      </c>
      <c r="G130" s="19" t="s">
        <v>82</v>
      </c>
      <c r="H130" s="20">
        <v>9630</v>
      </c>
      <c r="J130" t="str">
        <v>חיפה</v>
      </c>
      <c r="K130" t="str">
        <v>קורל דרו</v>
      </c>
      <c r="L130" t="str">
        <v>שרטוט</v>
      </c>
      <c r="M130">
        <v>280</v>
      </c>
      <c r="N130">
        <v>30</v>
      </c>
      <c r="P130" t="str">
        <f ca="1"/>
        <v>ראשון לציון</v>
      </c>
      <c r="Q130" t="str">
        <f ca="1"/>
        <v>ווין-זיפ 8</v>
      </c>
      <c r="R130" t="str">
        <f ca="1"/>
        <v>דחיסה</v>
      </c>
      <c r="S130">
        <f ca="1"/>
        <v>199</v>
      </c>
      <c r="T130">
        <f ca="1"/>
        <v>24</v>
      </c>
    </row>
    <row r="131" spans="1:20">
      <c r="A131" s="18" t="s">
        <v>717</v>
      </c>
      <c r="B131" s="19" t="s">
        <v>81</v>
      </c>
      <c r="C131" s="19" t="s">
        <v>44</v>
      </c>
      <c r="D131" s="19" t="s">
        <v>45</v>
      </c>
      <c r="E131" s="19">
        <v>99</v>
      </c>
      <c r="F131" s="19">
        <v>23</v>
      </c>
      <c r="G131" s="19" t="s">
        <v>83</v>
      </c>
      <c r="H131" s="20">
        <v>11173</v>
      </c>
      <c r="J131" t="str">
        <v>חיפה</v>
      </c>
      <c r="K131" t="str">
        <v>קורל דרו</v>
      </c>
      <c r="L131" t="str">
        <v>שרטוט</v>
      </c>
      <c r="M131">
        <v>280</v>
      </c>
      <c r="N131">
        <v>22</v>
      </c>
      <c r="P131" t="str">
        <f ca="1"/>
        <v>ראשון לציון</v>
      </c>
      <c r="Q131" t="str">
        <f ca="1"/>
        <v>זיפ-יט</v>
      </c>
      <c r="R131" t="str">
        <f ca="1"/>
        <v>דחיסה</v>
      </c>
      <c r="S131">
        <f ca="1"/>
        <v>99</v>
      </c>
      <c r="T131">
        <f ca="1"/>
        <v>23</v>
      </c>
    </row>
    <row r="132" spans="1:20">
      <c r="A132" s="18" t="s">
        <v>718</v>
      </c>
      <c r="B132" s="19" t="s">
        <v>55</v>
      </c>
      <c r="C132" s="19" t="s">
        <v>61</v>
      </c>
      <c r="D132" s="19" t="s">
        <v>45</v>
      </c>
      <c r="E132" s="19">
        <v>199</v>
      </c>
      <c r="F132" s="19">
        <v>13</v>
      </c>
      <c r="G132" s="19" t="s">
        <v>56</v>
      </c>
      <c r="H132" s="20">
        <v>13654</v>
      </c>
      <c r="J132" t="str">
        <v>ירושלים</v>
      </c>
      <c r="K132" t="str">
        <v>פגפ</v>
      </c>
      <c r="L132" t="str">
        <v>אבטחה</v>
      </c>
      <c r="M132">
        <v>299</v>
      </c>
      <c r="N132">
        <v>16</v>
      </c>
      <c r="P132" t="str">
        <f ca="1"/>
        <v>תל אביב</v>
      </c>
      <c r="Q132" t="str">
        <f ca="1"/>
        <v>פנל תמיכת החלטות</v>
      </c>
      <c r="R132" t="str">
        <f ca="1"/>
        <v>משרדית</v>
      </c>
      <c r="S132">
        <f ca="1"/>
        <v>899</v>
      </c>
      <c r="T132">
        <f ca="1"/>
        <v>24</v>
      </c>
    </row>
    <row r="133" spans="1:20">
      <c r="A133" s="18" t="s">
        <v>718</v>
      </c>
      <c r="B133" s="19" t="s">
        <v>55</v>
      </c>
      <c r="C133" s="19" t="s">
        <v>44</v>
      </c>
      <c r="D133" s="19" t="s">
        <v>45</v>
      </c>
      <c r="E133" s="19">
        <v>99</v>
      </c>
      <c r="F133" s="19">
        <v>26</v>
      </c>
      <c r="G133" s="19" t="s">
        <v>56</v>
      </c>
      <c r="H133" s="20">
        <v>5776</v>
      </c>
      <c r="J133" t="str">
        <v>ירושלים</v>
      </c>
      <c r="K133" t="str">
        <v>פגפ</v>
      </c>
      <c r="L133" t="str">
        <v>אבטחה</v>
      </c>
      <c r="M133">
        <v>299</v>
      </c>
      <c r="N133">
        <v>31</v>
      </c>
      <c r="P133" t="str">
        <f ca="1"/>
        <v>ראשון לציון</v>
      </c>
      <c r="Q133" t="str">
        <f ca="1"/>
        <v>אקסל</v>
      </c>
      <c r="R133" t="str">
        <f ca="1"/>
        <v>משרדית</v>
      </c>
      <c r="S133">
        <f ca="1"/>
        <v>555</v>
      </c>
      <c r="T133">
        <f ca="1"/>
        <v>17</v>
      </c>
    </row>
    <row r="134" spans="1:20">
      <c r="A134" s="18" t="s">
        <v>719</v>
      </c>
      <c r="B134" s="19" t="s">
        <v>81</v>
      </c>
      <c r="C134" s="19" t="s">
        <v>47</v>
      </c>
      <c r="D134" s="19" t="s">
        <v>30</v>
      </c>
      <c r="E134" s="19">
        <v>99</v>
      </c>
      <c r="F134" s="19">
        <v>17</v>
      </c>
      <c r="G134" s="19" t="s">
        <v>83</v>
      </c>
      <c r="H134" s="20">
        <v>17686</v>
      </c>
      <c r="J134" t="str">
        <v>ירושלים</v>
      </c>
      <c r="K134" t="str">
        <v>פגפ</v>
      </c>
      <c r="L134" t="str">
        <v>אבטחה</v>
      </c>
      <c r="M134">
        <v>299</v>
      </c>
      <c r="N134">
        <v>32</v>
      </c>
      <c r="P134" t="str">
        <f ca="1"/>
        <v>חיפה</v>
      </c>
      <c r="Q134" t="str">
        <f ca="1"/>
        <v>פרו-פורט</v>
      </c>
      <c r="R134" t="str">
        <f ca="1"/>
        <v>אבטחה</v>
      </c>
      <c r="S134">
        <f ca="1"/>
        <v>149</v>
      </c>
      <c r="T134">
        <f ca="1"/>
        <v>31</v>
      </c>
    </row>
    <row r="135" spans="1:20">
      <c r="A135" s="18" t="s">
        <v>719</v>
      </c>
      <c r="B135" s="19" t="s">
        <v>28</v>
      </c>
      <c r="C135" s="19" t="s">
        <v>61</v>
      </c>
      <c r="D135" s="19" t="s">
        <v>45</v>
      </c>
      <c r="E135" s="19">
        <v>199</v>
      </c>
      <c r="F135" s="19">
        <v>33</v>
      </c>
      <c r="G135" s="21" t="s">
        <v>36</v>
      </c>
      <c r="H135" s="20">
        <v>18566</v>
      </c>
      <c r="J135" t="str">
        <v>ירושלים</v>
      </c>
      <c r="K135" t="str">
        <v>פגפ</v>
      </c>
      <c r="L135" t="str">
        <v>אבטחה</v>
      </c>
      <c r="M135">
        <v>299</v>
      </c>
      <c r="N135">
        <v>18</v>
      </c>
      <c r="P135" t="str">
        <f ca="1"/>
        <v>קרית שמונה</v>
      </c>
      <c r="Q135" t="str">
        <f ca="1"/>
        <v>ווין-זיפ 8</v>
      </c>
      <c r="R135" t="str">
        <f ca="1"/>
        <v>דחיסה</v>
      </c>
      <c r="S135">
        <f ca="1"/>
        <v>199</v>
      </c>
      <c r="T135">
        <f ca="1"/>
        <v>30</v>
      </c>
    </row>
    <row r="136" spans="1:20">
      <c r="A136" s="18" t="s">
        <v>720</v>
      </c>
      <c r="B136" s="19" t="s">
        <v>28</v>
      </c>
      <c r="C136" s="19" t="s">
        <v>68</v>
      </c>
      <c r="D136" s="19" t="s">
        <v>40</v>
      </c>
      <c r="E136" s="19">
        <v>149</v>
      </c>
      <c r="F136" s="19">
        <v>3</v>
      </c>
      <c r="G136" s="19" t="s">
        <v>31</v>
      </c>
      <c r="H136" s="20">
        <v>15551</v>
      </c>
      <c r="J136" t="str">
        <v>ירושלים</v>
      </c>
      <c r="K136" t="str">
        <v>פגפ</v>
      </c>
      <c r="L136" t="str">
        <v>אבטחה</v>
      </c>
      <c r="M136">
        <v>299</v>
      </c>
      <c r="N136">
        <v>22</v>
      </c>
      <c r="P136" t="str">
        <f ca="1"/>
        <v>תל אביב</v>
      </c>
      <c r="Q136" t="str">
        <f ca="1"/>
        <v>אקסל</v>
      </c>
      <c r="R136" t="str">
        <f ca="1"/>
        <v>משרדית</v>
      </c>
      <c r="S136">
        <f ca="1"/>
        <v>555</v>
      </c>
      <c r="T136">
        <f ca="1"/>
        <v>33</v>
      </c>
    </row>
    <row r="137" spans="1:20">
      <c r="A137" s="18" t="s">
        <v>721</v>
      </c>
      <c r="B137" s="19" t="s">
        <v>67</v>
      </c>
      <c r="C137" s="19" t="s">
        <v>53</v>
      </c>
      <c r="D137" s="19" t="s">
        <v>40</v>
      </c>
      <c r="E137" s="19">
        <v>229</v>
      </c>
      <c r="F137" s="19">
        <v>23</v>
      </c>
      <c r="G137" s="19" t="s">
        <v>74</v>
      </c>
      <c r="H137" s="20">
        <v>11989</v>
      </c>
      <c r="J137" t="str">
        <v>ירושלים</v>
      </c>
      <c r="K137" t="str">
        <v>פגפ</v>
      </c>
      <c r="L137" t="str">
        <v>אבטחה</v>
      </c>
      <c r="M137">
        <v>299</v>
      </c>
      <c r="N137">
        <v>16</v>
      </c>
      <c r="P137" t="str">
        <f ca="1"/>
        <v>תל אביב</v>
      </c>
      <c r="Q137" t="str">
        <f ca="1"/>
        <v>פנל תמיכת החלטות</v>
      </c>
      <c r="R137" t="str">
        <f ca="1"/>
        <v>משרדית</v>
      </c>
      <c r="S137">
        <f ca="1"/>
        <v>899</v>
      </c>
      <c r="T137">
        <f ca="1"/>
        <v>3</v>
      </c>
    </row>
    <row r="138" spans="1:20">
      <c r="A138" s="18" t="s">
        <v>721</v>
      </c>
      <c r="B138" s="19" t="s">
        <v>81</v>
      </c>
      <c r="C138" s="19" t="s">
        <v>73</v>
      </c>
      <c r="D138" s="19" t="s">
        <v>51</v>
      </c>
      <c r="E138" s="19">
        <v>119</v>
      </c>
      <c r="F138" s="19">
        <v>12</v>
      </c>
      <c r="G138" s="19" t="s">
        <v>83</v>
      </c>
      <c r="H138" s="20">
        <v>15251</v>
      </c>
      <c r="J138" t="str">
        <v>ירושלים</v>
      </c>
      <c r="K138" t="str">
        <v>פגפ</v>
      </c>
      <c r="L138" t="str">
        <v>אבטחה</v>
      </c>
      <c r="M138">
        <v>299</v>
      </c>
      <c r="N138">
        <v>19</v>
      </c>
      <c r="P138" t="str">
        <f ca="1"/>
        <v>תל אביב</v>
      </c>
      <c r="Q138" t="str">
        <f ca="1"/>
        <v>נגן ריל פלייר 1</v>
      </c>
      <c r="R138" t="str">
        <f ca="1"/>
        <v>בידור</v>
      </c>
      <c r="S138">
        <f ca="1"/>
        <v>139</v>
      </c>
      <c r="T138">
        <f ca="1"/>
        <v>29</v>
      </c>
    </row>
    <row r="139" spans="1:20">
      <c r="A139" s="18" t="s">
        <v>722</v>
      </c>
      <c r="B139" s="19" t="s">
        <v>38</v>
      </c>
      <c r="C139" s="19" t="s">
        <v>53</v>
      </c>
      <c r="D139" s="19" t="s">
        <v>40</v>
      </c>
      <c r="E139" s="19">
        <v>229</v>
      </c>
      <c r="F139" s="19">
        <v>15</v>
      </c>
      <c r="G139" s="19" t="s">
        <v>64</v>
      </c>
      <c r="H139" s="20">
        <v>14638</v>
      </c>
      <c r="J139" t="str">
        <v>ירושלים</v>
      </c>
      <c r="K139" t="str">
        <v>פיירוול 1</v>
      </c>
      <c r="L139" t="str">
        <v>אבטחה</v>
      </c>
      <c r="M139">
        <v>229</v>
      </c>
      <c r="N139">
        <v>32</v>
      </c>
      <c r="P139" t="str">
        <f ca="1"/>
        <v>חיפה</v>
      </c>
      <c r="Q139" t="str">
        <f ca="1"/>
        <v>אקסל</v>
      </c>
      <c r="R139" t="str">
        <f ca="1"/>
        <v>משרדית</v>
      </c>
      <c r="S139">
        <f ca="1"/>
        <v>555</v>
      </c>
      <c r="T139">
        <f ca="1"/>
        <v>6</v>
      </c>
    </row>
    <row r="140" spans="1:20">
      <c r="A140" s="18" t="s">
        <v>722</v>
      </c>
      <c r="B140" s="19" t="s">
        <v>55</v>
      </c>
      <c r="C140" s="19" t="s">
        <v>39</v>
      </c>
      <c r="D140" s="19" t="s">
        <v>40</v>
      </c>
      <c r="E140" s="19">
        <v>299</v>
      </c>
      <c r="F140" s="19">
        <v>31</v>
      </c>
      <c r="G140" s="19" t="s">
        <v>56</v>
      </c>
      <c r="H140" s="20">
        <v>1306</v>
      </c>
      <c r="J140" t="str">
        <v>ירושלים</v>
      </c>
      <c r="K140" t="str">
        <v>פיירוול 1</v>
      </c>
      <c r="L140" t="str">
        <v>אבטחה</v>
      </c>
      <c r="M140">
        <v>229</v>
      </c>
      <c r="N140">
        <v>30</v>
      </c>
      <c r="P140" t="str">
        <f ca="1"/>
        <v>ראשון לציון</v>
      </c>
      <c r="Q140" t="str">
        <f ca="1"/>
        <v>פיירוול 1</v>
      </c>
      <c r="R140" t="str">
        <f ca="1"/>
        <v>אבטחה</v>
      </c>
      <c r="S140">
        <f ca="1"/>
        <v>229</v>
      </c>
      <c r="T140">
        <f ca="1"/>
        <v>15</v>
      </c>
    </row>
    <row r="141" spans="1:20">
      <c r="A141" s="18" t="s">
        <v>722</v>
      </c>
      <c r="B141" s="19" t="s">
        <v>81</v>
      </c>
      <c r="C141" s="19" t="s">
        <v>73</v>
      </c>
      <c r="D141" s="19" t="s">
        <v>51</v>
      </c>
      <c r="E141" s="19">
        <v>119</v>
      </c>
      <c r="F141" s="19">
        <v>28</v>
      </c>
      <c r="G141" s="19" t="s">
        <v>82</v>
      </c>
      <c r="H141" s="20">
        <v>14565</v>
      </c>
      <c r="J141" t="str">
        <v>ירושלים</v>
      </c>
      <c r="K141" t="str">
        <v>פרו-פורט</v>
      </c>
      <c r="L141" t="str">
        <v>אבטחה</v>
      </c>
      <c r="M141">
        <v>149</v>
      </c>
      <c r="N141">
        <v>8</v>
      </c>
      <c r="P141" t="str">
        <f ca="1"/>
        <v>ראשון לציון</v>
      </c>
      <c r="Q141" t="str">
        <f ca="1"/>
        <v>איריס</v>
      </c>
      <c r="R141" t="str">
        <f ca="1"/>
        <v>אנטיוירוס</v>
      </c>
      <c r="S141">
        <f ca="1"/>
        <v>499</v>
      </c>
      <c r="T141">
        <f ca="1"/>
        <v>19</v>
      </c>
    </row>
    <row r="142" spans="1:20">
      <c r="A142" s="18" t="s">
        <v>723</v>
      </c>
      <c r="B142" s="19" t="s">
        <v>38</v>
      </c>
      <c r="C142" s="19" t="s">
        <v>75</v>
      </c>
      <c r="D142" s="19" t="s">
        <v>30</v>
      </c>
      <c r="E142" s="19">
        <v>350</v>
      </c>
      <c r="F142" s="19">
        <v>4</v>
      </c>
      <c r="G142" s="19" t="s">
        <v>60</v>
      </c>
      <c r="H142" s="20">
        <v>5065</v>
      </c>
      <c r="J142" t="str">
        <v>ירושלים</v>
      </c>
      <c r="K142" t="str">
        <v>פרו-פורט</v>
      </c>
      <c r="L142" t="str">
        <v>אבטחה</v>
      </c>
      <c r="M142">
        <v>149</v>
      </c>
      <c r="N142">
        <v>8</v>
      </c>
      <c r="P142" t="str">
        <f ca="1"/>
        <v>תל אביב</v>
      </c>
      <c r="Q142" t="str">
        <f ca="1"/>
        <v>ווין-זיפ 8</v>
      </c>
      <c r="R142" t="str">
        <f ca="1"/>
        <v>דחיסה</v>
      </c>
      <c r="S142">
        <f ca="1"/>
        <v>199</v>
      </c>
      <c r="T142">
        <f ca="1"/>
        <v>11</v>
      </c>
    </row>
    <row r="143" spans="1:20">
      <c r="A143" s="18" t="s">
        <v>723</v>
      </c>
      <c r="B143" s="19" t="s">
        <v>38</v>
      </c>
      <c r="C143" s="19" t="s">
        <v>68</v>
      </c>
      <c r="D143" s="19" t="s">
        <v>40</v>
      </c>
      <c r="E143" s="19">
        <v>149</v>
      </c>
      <c r="F143" s="19">
        <v>7</v>
      </c>
      <c r="G143" s="19" t="s">
        <v>41</v>
      </c>
      <c r="H143" s="20">
        <v>11577</v>
      </c>
      <c r="J143" t="str">
        <v>ירושלים</v>
      </c>
      <c r="K143" t="str">
        <v>פרו-פורט</v>
      </c>
      <c r="L143" t="str">
        <v>אבטחה</v>
      </c>
      <c r="M143">
        <v>149</v>
      </c>
      <c r="N143">
        <v>6</v>
      </c>
      <c r="P143" t="str">
        <f ca="1"/>
        <v>אילת</v>
      </c>
      <c r="Q143" t="str">
        <f ca="1"/>
        <v>פנל תמיכת החלטות</v>
      </c>
      <c r="R143" t="str">
        <f ca="1"/>
        <v>משרדית</v>
      </c>
      <c r="S143">
        <f ca="1"/>
        <v>899</v>
      </c>
      <c r="T143">
        <f ca="1"/>
        <v>24</v>
      </c>
    </row>
    <row r="144" spans="1:20">
      <c r="A144" s="18" t="s">
        <v>724</v>
      </c>
      <c r="B144" s="19" t="s">
        <v>28</v>
      </c>
      <c r="C144" s="19" t="s">
        <v>73</v>
      </c>
      <c r="D144" s="19" t="s">
        <v>51</v>
      </c>
      <c r="E144" s="19">
        <v>119</v>
      </c>
      <c r="F144" s="19">
        <v>23</v>
      </c>
      <c r="G144" s="19" t="s">
        <v>34</v>
      </c>
      <c r="H144" s="20">
        <v>11129</v>
      </c>
      <c r="J144" t="str">
        <v>ירושלים</v>
      </c>
      <c r="K144" t="str">
        <v>פרו-פורט</v>
      </c>
      <c r="L144" t="str">
        <v>אבטחה</v>
      </c>
      <c r="M144">
        <v>149</v>
      </c>
      <c r="N144">
        <v>19</v>
      </c>
      <c r="P144" t="str">
        <f ca="1"/>
        <v>קרית שמונה</v>
      </c>
      <c r="Q144" t="str">
        <f ca="1"/>
        <v>נורטון</v>
      </c>
      <c r="R144" t="str">
        <f ca="1"/>
        <v>אנטיוירוס</v>
      </c>
      <c r="S144">
        <f ca="1"/>
        <v>629</v>
      </c>
      <c r="T144">
        <f ca="1"/>
        <v>10</v>
      </c>
    </row>
    <row r="145" spans="1:20">
      <c r="A145" s="18" t="s">
        <v>724</v>
      </c>
      <c r="B145" s="19" t="s">
        <v>55</v>
      </c>
      <c r="C145" s="19" t="s">
        <v>65</v>
      </c>
      <c r="D145" s="19" t="s">
        <v>58</v>
      </c>
      <c r="E145" s="19">
        <v>399</v>
      </c>
      <c r="F145" s="19">
        <v>6</v>
      </c>
      <c r="G145" s="19" t="s">
        <v>66</v>
      </c>
      <c r="H145" s="20">
        <v>4620</v>
      </c>
      <c r="J145" t="str">
        <v>ירושלים</v>
      </c>
      <c r="K145" t="str">
        <v>איריס</v>
      </c>
      <c r="L145" t="str">
        <v>אנטיוירוס</v>
      </c>
      <c r="M145">
        <v>499</v>
      </c>
      <c r="N145">
        <v>20</v>
      </c>
      <c r="P145" t="str">
        <f ca="1"/>
        <v>חיפה</v>
      </c>
      <c r="Q145" t="str">
        <f ca="1"/>
        <v>קורל דרו</v>
      </c>
      <c r="R145" t="str">
        <f ca="1"/>
        <v>שרטוט</v>
      </c>
      <c r="S145">
        <f ca="1"/>
        <v>280</v>
      </c>
      <c r="T145">
        <f ca="1"/>
        <v>17</v>
      </c>
    </row>
    <row r="146" spans="1:20">
      <c r="A146" s="18" t="s">
        <v>724</v>
      </c>
      <c r="B146" s="19" t="s">
        <v>38</v>
      </c>
      <c r="C146" s="19" t="s">
        <v>47</v>
      </c>
      <c r="D146" s="19" t="s">
        <v>30</v>
      </c>
      <c r="E146" s="19">
        <v>99</v>
      </c>
      <c r="F146" s="19">
        <v>14</v>
      </c>
      <c r="G146" s="19" t="s">
        <v>64</v>
      </c>
      <c r="H146" s="20">
        <v>18090</v>
      </c>
      <c r="J146" t="str">
        <v>ירושלים</v>
      </c>
      <c r="K146" t="str">
        <v>איריס</v>
      </c>
      <c r="L146" t="str">
        <v>אנטיוירוס</v>
      </c>
      <c r="M146">
        <v>499</v>
      </c>
      <c r="N146">
        <v>4</v>
      </c>
      <c r="P146" t="str">
        <f ca="1"/>
        <v>קרית שמונה</v>
      </c>
      <c r="Q146" t="str">
        <f ca="1"/>
        <v>סוליטיר</v>
      </c>
      <c r="R146" t="str">
        <f ca="1"/>
        <v>בידור</v>
      </c>
      <c r="S146">
        <f ca="1"/>
        <v>119</v>
      </c>
      <c r="T146">
        <f ca="1"/>
        <v>28</v>
      </c>
    </row>
    <row r="147" spans="1:20">
      <c r="A147" s="18" t="s">
        <v>725</v>
      </c>
      <c r="B147" s="19" t="s">
        <v>55</v>
      </c>
      <c r="C147" s="19" t="s">
        <v>44</v>
      </c>
      <c r="D147" s="19" t="s">
        <v>45</v>
      </c>
      <c r="E147" s="19">
        <v>99</v>
      </c>
      <c r="F147" s="19">
        <v>19</v>
      </c>
      <c r="G147" s="19" t="s">
        <v>66</v>
      </c>
      <c r="H147" s="20">
        <v>19478</v>
      </c>
      <c r="J147" t="str">
        <v>ירושלים</v>
      </c>
      <c r="K147" t="str">
        <v>איריס</v>
      </c>
      <c r="L147" t="str">
        <v>אנטיוירוס</v>
      </c>
      <c r="M147">
        <v>499</v>
      </c>
      <c r="N147">
        <v>22</v>
      </c>
      <c r="P147" t="str">
        <f ca="1"/>
        <v>קרית שמונה</v>
      </c>
      <c r="Q147" t="str">
        <f ca="1"/>
        <v>סוליטיר</v>
      </c>
      <c r="R147" t="str">
        <f ca="1"/>
        <v>בידור</v>
      </c>
      <c r="S147">
        <f ca="1"/>
        <v>119</v>
      </c>
      <c r="T147">
        <f ca="1"/>
        <v>28</v>
      </c>
    </row>
    <row r="148" spans="1:20">
      <c r="A148" s="18" t="s">
        <v>725</v>
      </c>
      <c r="B148" s="19" t="s">
        <v>49</v>
      </c>
      <c r="C148" s="19" t="s">
        <v>25</v>
      </c>
      <c r="D148" s="19" t="s">
        <v>26</v>
      </c>
      <c r="E148" s="19">
        <v>280</v>
      </c>
      <c r="F148" s="19">
        <v>2</v>
      </c>
      <c r="G148" s="19" t="s">
        <v>52</v>
      </c>
      <c r="H148" s="20">
        <v>3119</v>
      </c>
      <c r="J148" t="str">
        <v>ירושלים</v>
      </c>
      <c r="K148" t="str">
        <v>איריס</v>
      </c>
      <c r="L148" t="str">
        <v>אנטיוירוס</v>
      </c>
      <c r="M148">
        <v>499</v>
      </c>
      <c r="N148">
        <v>7</v>
      </c>
      <c r="P148" t="str">
        <f ca="1"/>
        <v>ירושלים</v>
      </c>
      <c r="Q148" t="str">
        <f ca="1"/>
        <v>קורל דרו</v>
      </c>
      <c r="R148" t="str">
        <f ca="1"/>
        <v>שרטוט</v>
      </c>
      <c r="S148">
        <f ca="1"/>
        <v>280</v>
      </c>
      <c r="T148">
        <f ca="1"/>
        <v>22</v>
      </c>
    </row>
    <row r="149" spans="1:20">
      <c r="A149" s="18" t="s">
        <v>726</v>
      </c>
      <c r="B149" s="19" t="s">
        <v>49</v>
      </c>
      <c r="C149" s="19" t="s">
        <v>57</v>
      </c>
      <c r="D149" s="19" t="s">
        <v>58</v>
      </c>
      <c r="E149" s="19">
        <v>175</v>
      </c>
      <c r="F149" s="19">
        <v>12</v>
      </c>
      <c r="G149" s="19" t="s">
        <v>54</v>
      </c>
      <c r="H149" s="20">
        <v>18482</v>
      </c>
      <c r="J149" t="str">
        <v>ירושלים</v>
      </c>
      <c r="K149" t="str">
        <v>נורטון</v>
      </c>
      <c r="L149" t="str">
        <v>אנטיוירוס</v>
      </c>
      <c r="M149">
        <v>629</v>
      </c>
      <c r="N149">
        <v>12</v>
      </c>
      <c r="P149" t="str">
        <f ca="1"/>
        <v>תל אביב</v>
      </c>
      <c r="Q149" t="str">
        <f ca="1"/>
        <v>סוליטיר</v>
      </c>
      <c r="R149" t="str">
        <f ca="1"/>
        <v>בידור</v>
      </c>
      <c r="S149">
        <f ca="1"/>
        <v>119</v>
      </c>
      <c r="T149">
        <f ca="1"/>
        <v>13</v>
      </c>
    </row>
    <row r="150" spans="1:20">
      <c r="A150" s="18" t="s">
        <v>726</v>
      </c>
      <c r="B150" s="19" t="s">
        <v>81</v>
      </c>
      <c r="C150" s="19" t="s">
        <v>65</v>
      </c>
      <c r="D150" s="19" t="s">
        <v>58</v>
      </c>
      <c r="E150" s="19">
        <v>399</v>
      </c>
      <c r="F150" s="19">
        <v>30</v>
      </c>
      <c r="G150" s="19" t="s">
        <v>82</v>
      </c>
      <c r="H150" s="20">
        <v>4043</v>
      </c>
      <c r="J150" t="str">
        <v>ירושלים</v>
      </c>
      <c r="K150" t="str">
        <v>נורטון</v>
      </c>
      <c r="L150" t="str">
        <v>אנטיוירוס</v>
      </c>
      <c r="M150">
        <v>629</v>
      </c>
      <c r="N150">
        <v>28</v>
      </c>
      <c r="P150" t="str">
        <f ca="1"/>
        <v>אילת</v>
      </c>
      <c r="Q150" t="str">
        <f ca="1"/>
        <v>בבילון</v>
      </c>
      <c r="R150" t="str">
        <f ca="1"/>
        <v>משרדית</v>
      </c>
      <c r="S150">
        <f ca="1"/>
        <v>99</v>
      </c>
      <c r="T150">
        <f ca="1"/>
        <v>12</v>
      </c>
    </row>
    <row r="151" spans="1:20">
      <c r="A151" s="18" t="s">
        <v>727</v>
      </c>
      <c r="B151" s="19" t="s">
        <v>55</v>
      </c>
      <c r="C151" s="19" t="s">
        <v>61</v>
      </c>
      <c r="D151" s="19" t="s">
        <v>45</v>
      </c>
      <c r="E151" s="19">
        <v>199</v>
      </c>
      <c r="F151" s="19">
        <v>7</v>
      </c>
      <c r="G151" s="19" t="s">
        <v>80</v>
      </c>
      <c r="H151" s="20">
        <v>11054</v>
      </c>
      <c r="J151" t="str">
        <v>ירושלים</v>
      </c>
      <c r="K151" t="str">
        <v>ברידג'</v>
      </c>
      <c r="L151" t="str">
        <v>בידור</v>
      </c>
      <c r="M151">
        <v>75</v>
      </c>
      <c r="N151">
        <v>23</v>
      </c>
      <c r="P151" t="str">
        <f ca="1"/>
        <v>תל אביב</v>
      </c>
      <c r="Q151" t="str">
        <f ca="1"/>
        <v>אקסל</v>
      </c>
      <c r="R151" t="str">
        <f ca="1"/>
        <v>משרדית</v>
      </c>
      <c r="S151">
        <f ca="1"/>
        <v>555</v>
      </c>
      <c r="T151">
        <f ca="1"/>
        <v>9</v>
      </c>
    </row>
    <row r="152" spans="1:20">
      <c r="A152" s="18" t="s">
        <v>728</v>
      </c>
      <c r="B152" s="19" t="s">
        <v>67</v>
      </c>
      <c r="C152" s="19" t="s">
        <v>48</v>
      </c>
      <c r="D152" s="19" t="s">
        <v>30</v>
      </c>
      <c r="E152" s="19">
        <v>95</v>
      </c>
      <c r="F152" s="19">
        <v>30</v>
      </c>
      <c r="G152" s="19" t="s">
        <v>78</v>
      </c>
      <c r="H152" s="20">
        <v>2268</v>
      </c>
      <c r="J152" t="str">
        <v>ירושלים</v>
      </c>
      <c r="K152" t="str">
        <v>ברידג'</v>
      </c>
      <c r="L152" t="str">
        <v>בידור</v>
      </c>
      <c r="M152">
        <v>75</v>
      </c>
      <c r="N152">
        <v>5</v>
      </c>
      <c r="P152" t="str">
        <f ca="1"/>
        <v>מכבים</v>
      </c>
      <c r="Q152" t="str">
        <f ca="1"/>
        <v>אקסל</v>
      </c>
      <c r="R152" t="str">
        <f ca="1"/>
        <v>משרדית</v>
      </c>
      <c r="S152">
        <f ca="1"/>
        <v>555</v>
      </c>
      <c r="T152">
        <f ca="1"/>
        <v>4</v>
      </c>
    </row>
    <row r="153" spans="1:20">
      <c r="A153" s="18" t="s">
        <v>728</v>
      </c>
      <c r="B153" s="19" t="s">
        <v>28</v>
      </c>
      <c r="C153" s="19" t="s">
        <v>50</v>
      </c>
      <c r="D153" s="19" t="s">
        <v>51</v>
      </c>
      <c r="E153" s="19">
        <v>139</v>
      </c>
      <c r="F153" s="19">
        <v>29</v>
      </c>
      <c r="G153" s="19" t="s">
        <v>34</v>
      </c>
      <c r="H153" s="20">
        <v>14763</v>
      </c>
      <c r="J153" t="str">
        <v>ירושלים</v>
      </c>
      <c r="K153" t="str">
        <v>ברידג'</v>
      </c>
      <c r="L153" t="str">
        <v>בידור</v>
      </c>
      <c r="M153">
        <v>75</v>
      </c>
      <c r="N153">
        <v>32</v>
      </c>
      <c r="P153" t="str">
        <f ca="1"/>
        <v>ירושלים</v>
      </c>
      <c r="Q153" t="str">
        <f ca="1"/>
        <v>פגפ</v>
      </c>
      <c r="R153" t="str">
        <f ca="1"/>
        <v>אבטחה</v>
      </c>
      <c r="S153">
        <f ca="1"/>
        <v>299</v>
      </c>
      <c r="T153">
        <f ca="1"/>
        <v>22</v>
      </c>
    </row>
    <row r="154" spans="1:20">
      <c r="A154" s="18" t="s">
        <v>728</v>
      </c>
      <c r="B154" s="19" t="s">
        <v>55</v>
      </c>
      <c r="C154" s="19" t="s">
        <v>71</v>
      </c>
      <c r="D154" s="19" t="s">
        <v>30</v>
      </c>
      <c r="E154" s="19">
        <v>555</v>
      </c>
      <c r="F154" s="19">
        <v>19</v>
      </c>
      <c r="G154" s="19" t="s">
        <v>80</v>
      </c>
      <c r="H154" s="20">
        <v>13444</v>
      </c>
      <c r="J154" t="str">
        <v>ירושלים</v>
      </c>
      <c r="K154" t="str">
        <v>נגן ריל פלייר 1</v>
      </c>
      <c r="L154" t="str">
        <v>בידור</v>
      </c>
      <c r="M154">
        <v>139</v>
      </c>
      <c r="N154">
        <v>9</v>
      </c>
      <c r="P154" t="str">
        <f ca="1"/>
        <v>תל אביב</v>
      </c>
      <c r="Q154" t="str">
        <f ca="1"/>
        <v>וורד</v>
      </c>
      <c r="R154" t="str">
        <f ca="1"/>
        <v>משרדית</v>
      </c>
      <c r="S154">
        <f ca="1"/>
        <v>350</v>
      </c>
      <c r="T154">
        <f ca="1"/>
        <v>30</v>
      </c>
    </row>
    <row r="155" spans="1:20">
      <c r="A155" s="18" t="s">
        <v>729</v>
      </c>
      <c r="B155" s="19" t="s">
        <v>24</v>
      </c>
      <c r="C155" s="19" t="s">
        <v>71</v>
      </c>
      <c r="D155" s="19" t="s">
        <v>30</v>
      </c>
      <c r="E155" s="19">
        <v>555</v>
      </c>
      <c r="F155" s="19">
        <v>29</v>
      </c>
      <c r="G155" s="19" t="s">
        <v>37</v>
      </c>
      <c r="H155" s="20">
        <v>1975</v>
      </c>
      <c r="J155" t="str">
        <v>ירושלים</v>
      </c>
      <c r="K155" t="str">
        <v>נגן ריל פלייר 1</v>
      </c>
      <c r="L155" t="str">
        <v>בידור</v>
      </c>
      <c r="M155">
        <v>139</v>
      </c>
      <c r="N155">
        <v>32</v>
      </c>
      <c r="P155" t="str">
        <f ca="1"/>
        <v>מכבים</v>
      </c>
      <c r="Q155" t="str">
        <f ca="1"/>
        <v>קורל דרו</v>
      </c>
      <c r="R155" t="str">
        <f ca="1"/>
        <v>שרטוט</v>
      </c>
      <c r="S155">
        <f ca="1"/>
        <v>280</v>
      </c>
      <c r="T155">
        <f ca="1"/>
        <v>7</v>
      </c>
    </row>
    <row r="156" spans="1:20">
      <c r="A156" s="18" t="s">
        <v>729</v>
      </c>
      <c r="B156" s="19" t="s">
        <v>55</v>
      </c>
      <c r="C156" s="19" t="s">
        <v>42</v>
      </c>
      <c r="D156" s="19" t="s">
        <v>30</v>
      </c>
      <c r="E156" s="19">
        <v>59</v>
      </c>
      <c r="F156" s="19">
        <v>11</v>
      </c>
      <c r="G156" s="19" t="s">
        <v>59</v>
      </c>
      <c r="H156" s="20">
        <v>2263</v>
      </c>
      <c r="J156" t="str">
        <v>ירושלים</v>
      </c>
      <c r="K156" t="str">
        <v>נגן ריל פלייר 1</v>
      </c>
      <c r="L156" t="str">
        <v>בידור</v>
      </c>
      <c r="M156">
        <v>139</v>
      </c>
      <c r="N156">
        <v>27</v>
      </c>
      <c r="P156" t="str">
        <f ca="1"/>
        <v>תל אביב</v>
      </c>
      <c r="Q156" t="str">
        <f ca="1"/>
        <v>איריס</v>
      </c>
      <c r="R156" t="str">
        <f ca="1"/>
        <v>אנטיוירוס</v>
      </c>
      <c r="S156">
        <f ca="1"/>
        <v>499</v>
      </c>
      <c r="T156">
        <f ca="1"/>
        <v>32</v>
      </c>
    </row>
    <row r="157" spans="1:20">
      <c r="A157" s="18" t="s">
        <v>729</v>
      </c>
      <c r="B157" s="19" t="s">
        <v>49</v>
      </c>
      <c r="C157" s="19" t="s">
        <v>75</v>
      </c>
      <c r="D157" s="19" t="s">
        <v>30</v>
      </c>
      <c r="E157" s="19">
        <v>350</v>
      </c>
      <c r="F157" s="19">
        <v>10</v>
      </c>
      <c r="G157" s="19" t="s">
        <v>52</v>
      </c>
      <c r="H157" s="20">
        <v>6705</v>
      </c>
      <c r="J157" t="str">
        <v>ירושלים</v>
      </c>
      <c r="K157" t="str">
        <v>סוליטיר</v>
      </c>
      <c r="L157" t="str">
        <v>בידור</v>
      </c>
      <c r="M157">
        <v>119</v>
      </c>
      <c r="N157">
        <v>21</v>
      </c>
      <c r="P157" t="str">
        <f ca="1"/>
        <v>ראשון לציון</v>
      </c>
      <c r="Q157" t="str">
        <f ca="1"/>
        <v>זיפ-יט</v>
      </c>
      <c r="R157" t="str">
        <f ca="1"/>
        <v>דחיסה</v>
      </c>
      <c r="S157">
        <f ca="1"/>
        <v>99</v>
      </c>
      <c r="T157">
        <f ca="1"/>
        <v>9</v>
      </c>
    </row>
    <row r="158" spans="1:20">
      <c r="A158" s="18">
        <v>44931</v>
      </c>
      <c r="B158" s="19" t="s">
        <v>55</v>
      </c>
      <c r="C158" s="19" t="s">
        <v>68</v>
      </c>
      <c r="D158" s="19" t="s">
        <v>40</v>
      </c>
      <c r="E158" s="19">
        <v>149</v>
      </c>
      <c r="F158" s="19">
        <v>8</v>
      </c>
      <c r="G158" s="19" t="s">
        <v>56</v>
      </c>
      <c r="H158" s="20">
        <v>13763</v>
      </c>
      <c r="J158" t="str">
        <v>ירושלים</v>
      </c>
      <c r="K158" t="str">
        <v>סוליטיר</v>
      </c>
      <c r="L158" t="str">
        <v>בידור</v>
      </c>
      <c r="M158">
        <v>119</v>
      </c>
      <c r="N158">
        <v>5</v>
      </c>
      <c r="P158" t="str">
        <f ca="1"/>
        <v>תל אביב</v>
      </c>
      <c r="Q158" t="str">
        <f ca="1"/>
        <v>אקסס</v>
      </c>
      <c r="R158" t="str">
        <f ca="1"/>
        <v>משרדית</v>
      </c>
      <c r="S158">
        <f ca="1"/>
        <v>95</v>
      </c>
      <c r="T158">
        <f ca="1"/>
        <v>15</v>
      </c>
    </row>
    <row r="159" spans="1:20">
      <c r="A159" s="18">
        <v>44962</v>
      </c>
      <c r="B159" s="19" t="s">
        <v>49</v>
      </c>
      <c r="C159" s="19" t="s">
        <v>61</v>
      </c>
      <c r="D159" s="19" t="s">
        <v>45</v>
      </c>
      <c r="E159" s="19">
        <v>199</v>
      </c>
      <c r="F159" s="19">
        <v>32</v>
      </c>
      <c r="G159" s="19" t="s">
        <v>70</v>
      </c>
      <c r="H159" s="20">
        <v>12759</v>
      </c>
      <c r="J159" t="str">
        <v>ירושלים</v>
      </c>
      <c r="K159" t="str">
        <v>ווין-זיפ 8</v>
      </c>
      <c r="L159" t="str">
        <v>דחיסה</v>
      </c>
      <c r="M159">
        <v>199</v>
      </c>
      <c r="N159">
        <v>30</v>
      </c>
      <c r="P159" t="str">
        <f ca="1"/>
        <v>ראשון לציון</v>
      </c>
      <c r="Q159" t="str">
        <f ca="1"/>
        <v>פנל תמיכת החלטות</v>
      </c>
      <c r="R159" t="str">
        <f ca="1"/>
        <v>משרדית</v>
      </c>
      <c r="S159">
        <f ca="1"/>
        <v>899</v>
      </c>
      <c r="T159">
        <f ca="1"/>
        <v>2</v>
      </c>
    </row>
    <row r="160" spans="1:20">
      <c r="A160" s="18">
        <v>44990</v>
      </c>
      <c r="B160" s="19" t="s">
        <v>24</v>
      </c>
      <c r="C160" s="19" t="s">
        <v>25</v>
      </c>
      <c r="D160" s="19" t="s">
        <v>26</v>
      </c>
      <c r="E160" s="19">
        <v>280</v>
      </c>
      <c r="F160" s="19">
        <v>29</v>
      </c>
      <c r="G160" s="19" t="s">
        <v>46</v>
      </c>
      <c r="H160" s="20">
        <v>5054</v>
      </c>
      <c r="J160" t="str">
        <v>ירושלים</v>
      </c>
      <c r="K160" t="str">
        <v>ווין-זיפ 8</v>
      </c>
      <c r="L160" t="str">
        <v>דחיסה</v>
      </c>
      <c r="M160">
        <v>199</v>
      </c>
      <c r="N160">
        <v>20</v>
      </c>
      <c r="P160" t="str">
        <f ca="1"/>
        <v>מכבים</v>
      </c>
      <c r="Q160" t="str">
        <f ca="1"/>
        <v>איריס</v>
      </c>
      <c r="R160" t="str">
        <f ca="1"/>
        <v>אנטיוירוס</v>
      </c>
      <c r="S160">
        <f ca="1"/>
        <v>499</v>
      </c>
      <c r="T160">
        <f ca="1"/>
        <v>31</v>
      </c>
    </row>
    <row r="161" spans="1:20">
      <c r="A161" s="18">
        <v>44990</v>
      </c>
      <c r="B161" s="19" t="s">
        <v>24</v>
      </c>
      <c r="C161" s="19" t="s">
        <v>50</v>
      </c>
      <c r="D161" s="19" t="s">
        <v>51</v>
      </c>
      <c r="E161" s="19">
        <v>139</v>
      </c>
      <c r="F161" s="19">
        <v>20</v>
      </c>
      <c r="G161" s="19" t="s">
        <v>46</v>
      </c>
      <c r="H161" s="20">
        <v>3078</v>
      </c>
      <c r="J161" t="str">
        <v>ירושלים</v>
      </c>
      <c r="K161" t="str">
        <v>ווין-זיפ 8</v>
      </c>
      <c r="L161" t="str">
        <v>דחיסה</v>
      </c>
      <c r="M161">
        <v>199</v>
      </c>
      <c r="N161">
        <v>25</v>
      </c>
      <c r="P161" t="str">
        <f ca="1"/>
        <v>ראשון לציון</v>
      </c>
      <c r="Q161" t="str">
        <f ca="1"/>
        <v>אסטאונד</v>
      </c>
      <c r="R161" t="str">
        <f ca="1"/>
        <v>מצגות</v>
      </c>
      <c r="S161">
        <f ca="1"/>
        <v>399</v>
      </c>
      <c r="T161">
        <f ca="1"/>
        <v>14</v>
      </c>
    </row>
    <row r="162" spans="1:20">
      <c r="A162" s="18">
        <v>44990</v>
      </c>
      <c r="B162" s="19" t="s">
        <v>38</v>
      </c>
      <c r="C162" s="19" t="s">
        <v>53</v>
      </c>
      <c r="D162" s="19" t="s">
        <v>40</v>
      </c>
      <c r="E162" s="19">
        <v>229</v>
      </c>
      <c r="F162" s="19">
        <v>29</v>
      </c>
      <c r="G162" s="19" t="s">
        <v>41</v>
      </c>
      <c r="H162" s="20">
        <v>18885</v>
      </c>
      <c r="J162" t="str">
        <v>ירושלים</v>
      </c>
      <c r="K162" t="str">
        <v>ווין-זיפ 8</v>
      </c>
      <c r="L162" t="str">
        <v>דחיסה</v>
      </c>
      <c r="M162">
        <v>199</v>
      </c>
      <c r="N162">
        <v>13</v>
      </c>
      <c r="P162" t="str">
        <f ca="1"/>
        <v>ראשון לציון</v>
      </c>
      <c r="Q162" t="str">
        <f ca="1"/>
        <v>פיירוול 1</v>
      </c>
      <c r="R162" t="str">
        <f ca="1"/>
        <v>אבטחה</v>
      </c>
      <c r="S162">
        <f ca="1"/>
        <v>229</v>
      </c>
      <c r="T162">
        <f ca="1"/>
        <v>23</v>
      </c>
    </row>
    <row r="163" spans="1:20">
      <c r="A163" s="18">
        <v>44990</v>
      </c>
      <c r="B163" s="19" t="s">
        <v>49</v>
      </c>
      <c r="C163" s="19" t="s">
        <v>68</v>
      </c>
      <c r="D163" s="19" t="s">
        <v>40</v>
      </c>
      <c r="E163" s="19">
        <v>149</v>
      </c>
      <c r="F163" s="19">
        <v>31</v>
      </c>
      <c r="G163" s="19" t="s">
        <v>54</v>
      </c>
      <c r="H163" s="20">
        <v>14859</v>
      </c>
      <c r="J163" t="str">
        <v>ירושלים</v>
      </c>
      <c r="K163" t="str">
        <v>ווין-זיפ 8</v>
      </c>
      <c r="L163" t="str">
        <v>דחיסה</v>
      </c>
      <c r="M163">
        <v>199</v>
      </c>
      <c r="N163">
        <v>7</v>
      </c>
      <c r="P163" t="str">
        <f ca="1"/>
        <v>חיפה</v>
      </c>
      <c r="Q163" t="str">
        <f ca="1"/>
        <v>פאוור פוינט</v>
      </c>
      <c r="R163" t="str">
        <f ca="1"/>
        <v>מצגות</v>
      </c>
      <c r="S163">
        <f ca="1"/>
        <v>175</v>
      </c>
      <c r="T163">
        <f ca="1"/>
        <v>24</v>
      </c>
    </row>
    <row r="164" spans="1:20">
      <c r="A164" s="18">
        <v>45051</v>
      </c>
      <c r="B164" s="19" t="s">
        <v>49</v>
      </c>
      <c r="C164" s="19" t="s">
        <v>68</v>
      </c>
      <c r="D164" s="19" t="s">
        <v>40</v>
      </c>
      <c r="E164" s="19">
        <v>149</v>
      </c>
      <c r="F164" s="19">
        <v>22</v>
      </c>
      <c r="G164" s="19" t="s">
        <v>70</v>
      </c>
      <c r="H164" s="20">
        <v>1055</v>
      </c>
      <c r="J164" t="str">
        <v>ירושלים</v>
      </c>
      <c r="K164" t="str">
        <v>ווין-זיפ 8</v>
      </c>
      <c r="L164" t="str">
        <v>דחיסה</v>
      </c>
      <c r="M164">
        <v>199</v>
      </c>
      <c r="N164">
        <v>14</v>
      </c>
      <c r="P164" t="str">
        <f ca="1"/>
        <v>תל אביב</v>
      </c>
      <c r="Q164" t="str">
        <f ca="1"/>
        <v>אקרובט</v>
      </c>
      <c r="R164" t="str">
        <f ca="1"/>
        <v>משרדית</v>
      </c>
      <c r="S164">
        <f ca="1"/>
        <v>599</v>
      </c>
      <c r="T164">
        <f ca="1"/>
        <v>7</v>
      </c>
    </row>
    <row r="165" spans="1:20">
      <c r="A165" s="18">
        <v>45051</v>
      </c>
      <c r="B165" s="19" t="s">
        <v>67</v>
      </c>
      <c r="C165" s="19" t="s">
        <v>53</v>
      </c>
      <c r="D165" s="19" t="s">
        <v>40</v>
      </c>
      <c r="E165" s="19">
        <v>229</v>
      </c>
      <c r="F165" s="19">
        <v>33</v>
      </c>
      <c r="G165" s="19" t="s">
        <v>78</v>
      </c>
      <c r="H165" s="20">
        <v>13591</v>
      </c>
      <c r="J165" t="str">
        <v>ירושלים</v>
      </c>
      <c r="K165" t="str">
        <v>ווין-זיפ 8</v>
      </c>
      <c r="L165" t="str">
        <v>דחיסה</v>
      </c>
      <c r="M165">
        <v>199</v>
      </c>
      <c r="N165">
        <v>13</v>
      </c>
      <c r="P165" t="str">
        <f ca="1"/>
        <v>תל אביב</v>
      </c>
      <c r="Q165" t="str">
        <f ca="1"/>
        <v>זיפ-יט</v>
      </c>
      <c r="R165" t="str">
        <f ca="1"/>
        <v>דחיסה</v>
      </c>
      <c r="S165">
        <f ca="1"/>
        <v>99</v>
      </c>
      <c r="T165">
        <f ca="1"/>
        <v>7</v>
      </c>
    </row>
    <row r="166" spans="1:20">
      <c r="A166" s="18">
        <v>45143</v>
      </c>
      <c r="B166" s="19" t="s">
        <v>49</v>
      </c>
      <c r="C166" s="19" t="s">
        <v>48</v>
      </c>
      <c r="D166" s="19" t="s">
        <v>30</v>
      </c>
      <c r="E166" s="19">
        <v>95</v>
      </c>
      <c r="F166" s="19">
        <v>7</v>
      </c>
      <c r="G166" s="19" t="s">
        <v>79</v>
      </c>
      <c r="H166" s="20">
        <v>12817</v>
      </c>
      <c r="J166" t="str">
        <v>ירושלים</v>
      </c>
      <c r="K166" t="str">
        <v>ווין-זיפ 8</v>
      </c>
      <c r="L166" t="str">
        <v>דחיסה</v>
      </c>
      <c r="M166">
        <v>199</v>
      </c>
      <c r="N166">
        <v>26</v>
      </c>
      <c r="P166" t="str">
        <f ca="1"/>
        <v>ירושלים</v>
      </c>
      <c r="Q166" t="str">
        <f ca="1"/>
        <v>יודורה</v>
      </c>
      <c r="R166" t="str">
        <f ca="1"/>
        <v>משרדית</v>
      </c>
      <c r="S166">
        <f ca="1"/>
        <v>59</v>
      </c>
      <c r="T166">
        <f ca="1"/>
        <v>3</v>
      </c>
    </row>
    <row r="167" spans="1:20">
      <c r="A167" s="18">
        <v>45143</v>
      </c>
      <c r="B167" s="19" t="s">
        <v>28</v>
      </c>
      <c r="C167" s="19" t="s">
        <v>75</v>
      </c>
      <c r="D167" s="19" t="s">
        <v>30</v>
      </c>
      <c r="E167" s="19">
        <v>350</v>
      </c>
      <c r="F167" s="19">
        <v>30</v>
      </c>
      <c r="G167" s="19" t="s">
        <v>34</v>
      </c>
      <c r="H167" s="20">
        <v>14358</v>
      </c>
      <c r="J167" t="str">
        <v>ירושלים</v>
      </c>
      <c r="K167" t="str">
        <v>ווין-זיפ 8</v>
      </c>
      <c r="L167" t="str">
        <v>דחיסה</v>
      </c>
      <c r="M167">
        <v>199</v>
      </c>
      <c r="N167">
        <v>7</v>
      </c>
      <c r="P167" t="str">
        <f ca="1"/>
        <v>ירושלים</v>
      </c>
      <c r="Q167" t="str">
        <f ca="1"/>
        <v>אקסס</v>
      </c>
      <c r="R167" t="str">
        <f ca="1"/>
        <v>משרדית</v>
      </c>
      <c r="S167">
        <f ca="1"/>
        <v>95</v>
      </c>
      <c r="T167">
        <f ca="1"/>
        <v>19</v>
      </c>
    </row>
    <row r="168" spans="1:20">
      <c r="A168" s="18">
        <v>45204</v>
      </c>
      <c r="B168" s="19" t="s">
        <v>67</v>
      </c>
      <c r="C168" s="19" t="s">
        <v>50</v>
      </c>
      <c r="D168" s="19" t="s">
        <v>51</v>
      </c>
      <c r="E168" s="19">
        <v>139</v>
      </c>
      <c r="F168" s="19">
        <v>10</v>
      </c>
      <c r="G168" s="19" t="s">
        <v>69</v>
      </c>
      <c r="H168" s="20">
        <v>4187</v>
      </c>
      <c r="J168" t="str">
        <v>ירושלים</v>
      </c>
      <c r="K168" t="str">
        <v>זיפ-יט</v>
      </c>
      <c r="L168" t="str">
        <v>דחיסה</v>
      </c>
      <c r="M168">
        <v>99</v>
      </c>
      <c r="N168">
        <v>26</v>
      </c>
      <c r="P168" t="str">
        <f ca="1"/>
        <v>תל אביב</v>
      </c>
      <c r="Q168" t="str">
        <f ca="1"/>
        <v>בבילון</v>
      </c>
      <c r="R168" t="str">
        <f ca="1"/>
        <v>משרדית</v>
      </c>
      <c r="S168">
        <f ca="1"/>
        <v>99</v>
      </c>
      <c r="T168">
        <f ca="1"/>
        <v>21</v>
      </c>
    </row>
    <row r="169" spans="1:20">
      <c r="A169" s="18">
        <v>45204</v>
      </c>
      <c r="B169" s="19" t="s">
        <v>67</v>
      </c>
      <c r="C169" s="19" t="s">
        <v>48</v>
      </c>
      <c r="D169" s="19" t="s">
        <v>30</v>
      </c>
      <c r="E169" s="19">
        <v>95</v>
      </c>
      <c r="F169" s="19">
        <v>16</v>
      </c>
      <c r="G169" s="19" t="s">
        <v>78</v>
      </c>
      <c r="H169" s="20">
        <v>3193</v>
      </c>
      <c r="J169" t="str">
        <v>ירושלים</v>
      </c>
      <c r="K169" t="str">
        <v>זיפ-יט</v>
      </c>
      <c r="L169" t="str">
        <v>דחיסה</v>
      </c>
      <c r="M169">
        <v>99</v>
      </c>
      <c r="N169">
        <v>11</v>
      </c>
      <c r="P169" t="str">
        <f ca="1"/>
        <v>אילת</v>
      </c>
      <c r="Q169" t="str">
        <f ca="1"/>
        <v>פרו-פורט</v>
      </c>
      <c r="R169" t="str">
        <f ca="1"/>
        <v>אבטחה</v>
      </c>
      <c r="S169">
        <f ca="1"/>
        <v>149</v>
      </c>
      <c r="T169">
        <f ca="1"/>
        <v>1</v>
      </c>
    </row>
    <row r="170" spans="1:20">
      <c r="A170" s="18">
        <v>45235</v>
      </c>
      <c r="B170" s="19" t="s">
        <v>28</v>
      </c>
      <c r="C170" s="19" t="s">
        <v>53</v>
      </c>
      <c r="D170" s="19" t="s">
        <v>40</v>
      </c>
      <c r="E170" s="19">
        <v>229</v>
      </c>
      <c r="F170" s="19">
        <v>30</v>
      </c>
      <c r="G170" s="19" t="s">
        <v>31</v>
      </c>
      <c r="H170" s="20">
        <v>19168</v>
      </c>
      <c r="J170" t="str">
        <v>ירושלים</v>
      </c>
      <c r="K170" t="str">
        <v>זיפ-יט</v>
      </c>
      <c r="L170" t="str">
        <v>דחיסה</v>
      </c>
      <c r="M170">
        <v>99</v>
      </c>
      <c r="N170">
        <v>26</v>
      </c>
      <c r="P170" t="str">
        <f ca="1"/>
        <v>מכבים</v>
      </c>
      <c r="Q170" t="str">
        <f ca="1"/>
        <v>נגן ריל פלייר 1</v>
      </c>
      <c r="R170" t="str">
        <f ca="1"/>
        <v>בידור</v>
      </c>
      <c r="S170">
        <f ca="1"/>
        <v>139</v>
      </c>
      <c r="T170">
        <f ca="1"/>
        <v>11</v>
      </c>
    </row>
    <row r="171" spans="1:20">
      <c r="A171" s="18">
        <v>45235</v>
      </c>
      <c r="B171" s="19" t="s">
        <v>81</v>
      </c>
      <c r="C171" s="19" t="s">
        <v>57</v>
      </c>
      <c r="D171" s="19" t="s">
        <v>58</v>
      </c>
      <c r="E171" s="19">
        <v>175</v>
      </c>
      <c r="F171" s="19">
        <v>33</v>
      </c>
      <c r="G171" s="19" t="s">
        <v>82</v>
      </c>
      <c r="H171" s="20">
        <v>17381</v>
      </c>
      <c r="J171" t="str">
        <v>ירושלים</v>
      </c>
      <c r="K171" t="str">
        <v>זיפ-יט</v>
      </c>
      <c r="L171" t="str">
        <v>דחיסה</v>
      </c>
      <c r="M171">
        <v>99</v>
      </c>
      <c r="N171">
        <v>19</v>
      </c>
      <c r="P171" t="str">
        <f ca="1"/>
        <v>ראשון לציון</v>
      </c>
      <c r="Q171" t="str">
        <f ca="1"/>
        <v>סוליטיר</v>
      </c>
      <c r="R171" t="str">
        <f ca="1"/>
        <v>בידור</v>
      </c>
      <c r="S171">
        <f ca="1"/>
        <v>119</v>
      </c>
      <c r="T171">
        <f ca="1"/>
        <v>7</v>
      </c>
    </row>
    <row r="172" spans="1:20">
      <c r="A172" s="18" t="s">
        <v>730</v>
      </c>
      <c r="B172" s="19" t="s">
        <v>28</v>
      </c>
      <c r="C172" s="19" t="s">
        <v>85</v>
      </c>
      <c r="D172" s="19" t="s">
        <v>51</v>
      </c>
      <c r="E172" s="19">
        <v>75</v>
      </c>
      <c r="F172" s="19">
        <v>12</v>
      </c>
      <c r="G172" s="19" t="s">
        <v>34</v>
      </c>
      <c r="H172" s="20">
        <v>15672</v>
      </c>
      <c r="J172" t="str">
        <v>ירושלים</v>
      </c>
      <c r="K172" t="str">
        <v>זיפ-יט</v>
      </c>
      <c r="L172" t="str">
        <v>דחיסה</v>
      </c>
      <c r="M172">
        <v>99</v>
      </c>
      <c r="N172">
        <v>12</v>
      </c>
      <c r="P172" t="str">
        <f ca="1"/>
        <v>ירושלים</v>
      </c>
      <c r="Q172" t="str">
        <f ca="1"/>
        <v>פגפ</v>
      </c>
      <c r="R172" t="str">
        <f ca="1"/>
        <v>אבטחה</v>
      </c>
      <c r="S172">
        <f ca="1"/>
        <v>299</v>
      </c>
      <c r="T172">
        <f ca="1"/>
        <v>18</v>
      </c>
    </row>
    <row r="173" spans="1:20">
      <c r="A173" s="18" t="s">
        <v>731</v>
      </c>
      <c r="B173" s="19" t="s">
        <v>55</v>
      </c>
      <c r="C173" s="19" t="s">
        <v>50</v>
      </c>
      <c r="D173" s="19" t="s">
        <v>51</v>
      </c>
      <c r="E173" s="19">
        <v>139</v>
      </c>
      <c r="F173" s="19">
        <v>9</v>
      </c>
      <c r="G173" s="19" t="s">
        <v>59</v>
      </c>
      <c r="H173" s="20">
        <v>5677</v>
      </c>
      <c r="J173" t="str">
        <v>ירושלים</v>
      </c>
      <c r="K173" t="str">
        <v>זיפ-יט</v>
      </c>
      <c r="L173" t="str">
        <v>דחיסה</v>
      </c>
      <c r="M173">
        <v>99</v>
      </c>
      <c r="N173">
        <v>6</v>
      </c>
      <c r="P173" t="str">
        <f ca="1"/>
        <v>מכבים</v>
      </c>
      <c r="Q173" t="str">
        <f ca="1"/>
        <v>איריס</v>
      </c>
      <c r="R173" t="str">
        <f ca="1"/>
        <v>אנטיוירוס</v>
      </c>
      <c r="S173">
        <f ca="1"/>
        <v>499</v>
      </c>
      <c r="T173">
        <f ca="1"/>
        <v>27</v>
      </c>
    </row>
    <row r="174" spans="1:20">
      <c r="A174" s="18" t="s">
        <v>732</v>
      </c>
      <c r="B174" s="19" t="s">
        <v>24</v>
      </c>
      <c r="C174" s="19" t="s">
        <v>53</v>
      </c>
      <c r="D174" s="19" t="s">
        <v>40</v>
      </c>
      <c r="E174" s="19">
        <v>229</v>
      </c>
      <c r="F174" s="19">
        <v>25</v>
      </c>
      <c r="G174" s="19" t="s">
        <v>46</v>
      </c>
      <c r="H174" s="20">
        <v>1282</v>
      </c>
      <c r="J174" t="str">
        <v>ירושלים</v>
      </c>
      <c r="K174" t="str">
        <v>אסטאונד</v>
      </c>
      <c r="L174" t="str">
        <v>מצגות</v>
      </c>
      <c r="M174">
        <v>399</v>
      </c>
      <c r="N174">
        <v>14</v>
      </c>
      <c r="P174" t="str">
        <f ca="1"/>
        <v>ירושלים</v>
      </c>
      <c r="Q174" t="str">
        <f ca="1"/>
        <v>פרו-פורט</v>
      </c>
      <c r="R174" t="str">
        <f ca="1"/>
        <v>אבטחה</v>
      </c>
      <c r="S174">
        <f ca="1"/>
        <v>149</v>
      </c>
      <c r="T174">
        <f ca="1"/>
        <v>8</v>
      </c>
    </row>
    <row r="175" spans="1:20">
      <c r="A175" s="18" t="s">
        <v>732</v>
      </c>
      <c r="B175" s="19" t="s">
        <v>38</v>
      </c>
      <c r="C175" s="19" t="s">
        <v>71</v>
      </c>
      <c r="D175" s="19" t="s">
        <v>30</v>
      </c>
      <c r="E175" s="19">
        <v>555</v>
      </c>
      <c r="F175" s="19">
        <v>17</v>
      </c>
      <c r="G175" s="19" t="s">
        <v>60</v>
      </c>
      <c r="H175" s="20">
        <v>14867</v>
      </c>
      <c r="J175" t="str">
        <v>ירושלים</v>
      </c>
      <c r="K175" t="str">
        <v>אסטאונד</v>
      </c>
      <c r="L175" t="str">
        <v>מצגות</v>
      </c>
      <c r="M175">
        <v>399</v>
      </c>
      <c r="N175">
        <v>17</v>
      </c>
      <c r="P175" t="str">
        <f ca="1"/>
        <v>תל אביב</v>
      </c>
      <c r="Q175" t="str">
        <f ca="1"/>
        <v>נגן ריל פלייר 1</v>
      </c>
      <c r="R175" t="str">
        <f ca="1"/>
        <v>בידור</v>
      </c>
      <c r="S175">
        <f ca="1"/>
        <v>139</v>
      </c>
      <c r="T175">
        <f ca="1"/>
        <v>13</v>
      </c>
    </row>
    <row r="176" spans="1:20">
      <c r="A176" s="18" t="s">
        <v>733</v>
      </c>
      <c r="B176" s="19" t="s">
        <v>49</v>
      </c>
      <c r="C176" s="19" t="s">
        <v>25</v>
      </c>
      <c r="D176" s="19" t="s">
        <v>26</v>
      </c>
      <c r="E176" s="19">
        <v>280</v>
      </c>
      <c r="F176" s="19">
        <v>9</v>
      </c>
      <c r="G176" s="19" t="s">
        <v>54</v>
      </c>
      <c r="H176" s="20">
        <v>19535</v>
      </c>
      <c r="J176" t="str">
        <v>ירושלים</v>
      </c>
      <c r="K176" t="str">
        <v>אסטאונד</v>
      </c>
      <c r="L176" t="str">
        <v>מצגות</v>
      </c>
      <c r="M176">
        <v>399</v>
      </c>
      <c r="N176">
        <v>6</v>
      </c>
      <c r="P176" t="str">
        <f ca="1"/>
        <v>אילת</v>
      </c>
      <c r="Q176" t="str">
        <f ca="1"/>
        <v>פגפ</v>
      </c>
      <c r="R176" t="str">
        <f ca="1"/>
        <v>אבטחה</v>
      </c>
      <c r="S176">
        <f ca="1"/>
        <v>299</v>
      </c>
      <c r="T176">
        <f ca="1"/>
        <v>1</v>
      </c>
    </row>
    <row r="177" spans="1:20">
      <c r="A177" s="18" t="s">
        <v>734</v>
      </c>
      <c r="B177" s="19" t="s">
        <v>67</v>
      </c>
      <c r="C177" s="19" t="s">
        <v>39</v>
      </c>
      <c r="D177" s="19" t="s">
        <v>40</v>
      </c>
      <c r="E177" s="19">
        <v>299</v>
      </c>
      <c r="F177" s="19">
        <v>29</v>
      </c>
      <c r="G177" s="19" t="s">
        <v>69</v>
      </c>
      <c r="H177" s="20">
        <v>18402</v>
      </c>
      <c r="J177" t="str">
        <v>ירושלים</v>
      </c>
      <c r="K177" t="str">
        <v>אסטאונד</v>
      </c>
      <c r="L177" t="str">
        <v>מצגות</v>
      </c>
      <c r="M177">
        <v>399</v>
      </c>
      <c r="N177">
        <v>21</v>
      </c>
      <c r="P177" t="str">
        <f ca="1"/>
        <v>ירושלים</v>
      </c>
      <c r="Q177" t="str">
        <f ca="1"/>
        <v>ווין-זיפ 8</v>
      </c>
      <c r="R177" t="str">
        <f ca="1"/>
        <v>דחיסה</v>
      </c>
      <c r="S177">
        <f ca="1"/>
        <v>199</v>
      </c>
      <c r="T177">
        <f ca="1"/>
        <v>13</v>
      </c>
    </row>
    <row r="178" spans="1:20">
      <c r="A178" s="18" t="s">
        <v>734</v>
      </c>
      <c r="B178" s="19" t="s">
        <v>24</v>
      </c>
      <c r="C178" s="19" t="s">
        <v>32</v>
      </c>
      <c r="D178" s="19" t="s">
        <v>33</v>
      </c>
      <c r="E178" s="19">
        <v>499</v>
      </c>
      <c r="F178" s="19">
        <v>31</v>
      </c>
      <c r="G178" s="19" t="s">
        <v>27</v>
      </c>
      <c r="H178" s="20">
        <v>14255</v>
      </c>
      <c r="J178" t="str">
        <v>ירושלים</v>
      </c>
      <c r="K178" t="str">
        <v>אסטאונד</v>
      </c>
      <c r="L178" t="str">
        <v>מצגות</v>
      </c>
      <c r="M178">
        <v>399</v>
      </c>
      <c r="N178">
        <v>26</v>
      </c>
      <c r="P178" t="str">
        <f ca="1"/>
        <v>תל אביב</v>
      </c>
      <c r="Q178" t="str">
        <f ca="1"/>
        <v>יודורה</v>
      </c>
      <c r="R178" t="str">
        <f ca="1"/>
        <v>משרדית</v>
      </c>
      <c r="S178">
        <f ca="1"/>
        <v>59</v>
      </c>
      <c r="T178">
        <f ca="1"/>
        <v>25</v>
      </c>
    </row>
    <row r="179" spans="1:20">
      <c r="A179" s="18" t="s">
        <v>735</v>
      </c>
      <c r="B179" s="19" t="s">
        <v>28</v>
      </c>
      <c r="C179" s="19" t="s">
        <v>53</v>
      </c>
      <c r="D179" s="19" t="s">
        <v>40</v>
      </c>
      <c r="E179" s="19">
        <v>229</v>
      </c>
      <c r="F179" s="19">
        <v>8</v>
      </c>
      <c r="G179" s="19" t="s">
        <v>31</v>
      </c>
      <c r="H179" s="20">
        <v>19486</v>
      </c>
      <c r="J179" t="str">
        <v>ירושלים</v>
      </c>
      <c r="K179" t="str">
        <v>אסטאונד</v>
      </c>
      <c r="L179" t="str">
        <v>מצגות</v>
      </c>
      <c r="M179">
        <v>399</v>
      </c>
      <c r="N179">
        <v>28</v>
      </c>
      <c r="P179" t="str">
        <f ca="1"/>
        <v>אילת</v>
      </c>
      <c r="Q179" t="str">
        <f ca="1"/>
        <v>פיירוול 1</v>
      </c>
      <c r="R179" t="str">
        <f ca="1"/>
        <v>אבטחה</v>
      </c>
      <c r="S179">
        <f ca="1"/>
        <v>229</v>
      </c>
      <c r="T179">
        <f ca="1"/>
        <v>33</v>
      </c>
    </row>
    <row r="180" spans="1:20">
      <c r="A180" s="18" t="s">
        <v>735</v>
      </c>
      <c r="B180" s="19" t="s">
        <v>81</v>
      </c>
      <c r="C180" s="19" t="s">
        <v>32</v>
      </c>
      <c r="D180" s="19" t="s">
        <v>33</v>
      </c>
      <c r="E180" s="19">
        <v>499</v>
      </c>
      <c r="F180" s="19">
        <v>25</v>
      </c>
      <c r="G180" s="19" t="s">
        <v>83</v>
      </c>
      <c r="H180" s="20">
        <v>4679</v>
      </c>
      <c r="J180" t="str">
        <v>ירושלים</v>
      </c>
      <c r="K180" t="str">
        <v>אסטאונד</v>
      </c>
      <c r="L180" t="str">
        <v>מצגות</v>
      </c>
      <c r="M180">
        <v>399</v>
      </c>
      <c r="N180">
        <v>27</v>
      </c>
      <c r="P180" t="str">
        <f ca="1"/>
        <v>קרית שמונה</v>
      </c>
      <c r="Q180" t="str">
        <f ca="1"/>
        <v>נורטון</v>
      </c>
      <c r="R180" t="str">
        <f ca="1"/>
        <v>אנטיוירוס</v>
      </c>
      <c r="S180">
        <f ca="1"/>
        <v>629</v>
      </c>
      <c r="T180">
        <f ca="1"/>
        <v>18</v>
      </c>
    </row>
    <row r="181" spans="1:20">
      <c r="A181" s="18" t="s">
        <v>736</v>
      </c>
      <c r="B181" s="19" t="s">
        <v>28</v>
      </c>
      <c r="C181" s="19" t="s">
        <v>44</v>
      </c>
      <c r="D181" s="19" t="s">
        <v>45</v>
      </c>
      <c r="E181" s="19">
        <v>99</v>
      </c>
      <c r="F181" s="19">
        <v>7</v>
      </c>
      <c r="G181" s="21" t="s">
        <v>36</v>
      </c>
      <c r="H181" s="20">
        <v>14073</v>
      </c>
      <c r="J181" t="str">
        <v>ירושלים</v>
      </c>
      <c r="K181" t="str">
        <v>אסטאונד</v>
      </c>
      <c r="L181" t="str">
        <v>מצגות</v>
      </c>
      <c r="M181">
        <v>399</v>
      </c>
      <c r="N181">
        <v>8</v>
      </c>
      <c r="P181" t="str">
        <f ca="1"/>
        <v>ראשון לציון</v>
      </c>
      <c r="Q181" t="str">
        <f ca="1"/>
        <v>נורטון</v>
      </c>
      <c r="R181" t="str">
        <f ca="1"/>
        <v>אנטיוירוס</v>
      </c>
      <c r="S181">
        <f ca="1"/>
        <v>629</v>
      </c>
      <c r="T181">
        <f ca="1"/>
        <v>16</v>
      </c>
    </row>
    <row r="182" spans="1:20">
      <c r="A182" s="18" t="s">
        <v>736</v>
      </c>
      <c r="B182" s="19" t="s">
        <v>28</v>
      </c>
      <c r="C182" s="19" t="s">
        <v>39</v>
      </c>
      <c r="D182" s="19" t="s">
        <v>40</v>
      </c>
      <c r="E182" s="19">
        <v>299</v>
      </c>
      <c r="F182" s="19">
        <v>19</v>
      </c>
      <c r="G182" s="19" t="s">
        <v>84</v>
      </c>
      <c r="H182" s="20">
        <v>3049</v>
      </c>
      <c r="J182" t="str">
        <v>ירושלים</v>
      </c>
      <c r="K182" t="str">
        <v>אסטאונד</v>
      </c>
      <c r="L182" t="str">
        <v>מצגות</v>
      </c>
      <c r="M182">
        <v>399</v>
      </c>
      <c r="N182">
        <v>14</v>
      </c>
      <c r="P182" t="str">
        <f ca="1"/>
        <v>תל אביב</v>
      </c>
      <c r="Q182" t="str">
        <f ca="1"/>
        <v>וורד</v>
      </c>
      <c r="R182" t="str">
        <f ca="1"/>
        <v>משרדית</v>
      </c>
      <c r="S182">
        <f ca="1"/>
        <v>350</v>
      </c>
      <c r="T182">
        <f ca="1"/>
        <v>7</v>
      </c>
    </row>
    <row r="183" spans="1:20">
      <c r="A183" s="18" t="s">
        <v>736</v>
      </c>
      <c r="B183" s="19" t="s">
        <v>38</v>
      </c>
      <c r="C183" s="19" t="s">
        <v>62</v>
      </c>
      <c r="D183" s="19" t="s">
        <v>33</v>
      </c>
      <c r="E183" s="19">
        <v>629</v>
      </c>
      <c r="F183" s="19">
        <v>25</v>
      </c>
      <c r="G183" s="19" t="s">
        <v>63</v>
      </c>
      <c r="H183" s="20">
        <v>7425</v>
      </c>
      <c r="J183" t="str">
        <v>ירושלים</v>
      </c>
      <c r="K183" t="str">
        <v>פאוור פוינט</v>
      </c>
      <c r="L183" t="str">
        <v>מצגות</v>
      </c>
      <c r="M183">
        <v>175</v>
      </c>
      <c r="N183">
        <v>16</v>
      </c>
      <c r="P183" t="str">
        <f ca="1"/>
        <v>אילת</v>
      </c>
      <c r="Q183" t="str">
        <f ca="1"/>
        <v>יודורה</v>
      </c>
      <c r="R183" t="str">
        <f ca="1"/>
        <v>משרדית</v>
      </c>
      <c r="S183">
        <f ca="1"/>
        <v>59</v>
      </c>
      <c r="T183">
        <f ca="1"/>
        <v>7</v>
      </c>
    </row>
    <row r="184" spans="1:20">
      <c r="A184" s="18" t="s">
        <v>737</v>
      </c>
      <c r="B184" s="19" t="s">
        <v>28</v>
      </c>
      <c r="C184" s="19" t="s">
        <v>73</v>
      </c>
      <c r="D184" s="19" t="s">
        <v>51</v>
      </c>
      <c r="E184" s="19">
        <v>119</v>
      </c>
      <c r="F184" s="19">
        <v>20</v>
      </c>
      <c r="G184" s="19" t="s">
        <v>43</v>
      </c>
      <c r="H184" s="20">
        <v>19468</v>
      </c>
      <c r="J184" t="str">
        <v>ירושלים</v>
      </c>
      <c r="K184" t="str">
        <v>פאוור פוינט</v>
      </c>
      <c r="L184" t="str">
        <v>מצגות</v>
      </c>
      <c r="M184">
        <v>175</v>
      </c>
      <c r="N184">
        <v>25</v>
      </c>
      <c r="P184" t="str">
        <f ca="1"/>
        <v>ירושלים</v>
      </c>
      <c r="Q184" t="str">
        <f ca="1"/>
        <v>אקסל</v>
      </c>
      <c r="R184" t="str">
        <f ca="1"/>
        <v>משרדית</v>
      </c>
      <c r="S184">
        <f ca="1"/>
        <v>555</v>
      </c>
      <c r="T184">
        <f ca="1"/>
        <v>19</v>
      </c>
    </row>
    <row r="185" spans="1:20">
      <c r="A185" s="18" t="s">
        <v>738</v>
      </c>
      <c r="B185" s="19" t="s">
        <v>28</v>
      </c>
      <c r="C185" s="19" t="s">
        <v>85</v>
      </c>
      <c r="D185" s="19" t="s">
        <v>51</v>
      </c>
      <c r="E185" s="19">
        <v>75</v>
      </c>
      <c r="F185" s="19">
        <v>20</v>
      </c>
      <c r="G185" s="19" t="s">
        <v>31</v>
      </c>
      <c r="H185" s="20">
        <v>3523</v>
      </c>
      <c r="J185" t="str">
        <v>ירושלים</v>
      </c>
      <c r="K185" t="str">
        <v>פאוור פוינט</v>
      </c>
      <c r="L185" t="str">
        <v>מצגות</v>
      </c>
      <c r="M185">
        <v>175</v>
      </c>
      <c r="N185">
        <v>6</v>
      </c>
      <c r="P185" t="str">
        <f ca="1"/>
        <v>קרית שמונה</v>
      </c>
      <c r="Q185" t="str">
        <f ca="1"/>
        <v>אקסס</v>
      </c>
      <c r="R185" t="str">
        <f ca="1"/>
        <v>משרדית</v>
      </c>
      <c r="S185">
        <f ca="1"/>
        <v>95</v>
      </c>
      <c r="T185">
        <f ca="1"/>
        <v>26</v>
      </c>
    </row>
    <row r="186" spans="1:20">
      <c r="A186" s="18" t="s">
        <v>739</v>
      </c>
      <c r="B186" s="19" t="s">
        <v>38</v>
      </c>
      <c r="C186" s="19" t="s">
        <v>57</v>
      </c>
      <c r="D186" s="19" t="s">
        <v>58</v>
      </c>
      <c r="E186" s="19">
        <v>175</v>
      </c>
      <c r="F186" s="19">
        <v>14</v>
      </c>
      <c r="G186" s="19" t="s">
        <v>41</v>
      </c>
      <c r="H186" s="20">
        <v>3723</v>
      </c>
      <c r="J186" t="str">
        <v>ירושלים</v>
      </c>
      <c r="K186" t="str">
        <v>פאוור פוינט</v>
      </c>
      <c r="L186" t="str">
        <v>מצגות</v>
      </c>
      <c r="M186">
        <v>175</v>
      </c>
      <c r="N186">
        <v>2</v>
      </c>
      <c r="P186" t="str">
        <f ca="1"/>
        <v>ראשון לציון</v>
      </c>
      <c r="Q186" t="str">
        <f ca="1"/>
        <v>פאוור פוינט</v>
      </c>
      <c r="R186" t="str">
        <f ca="1"/>
        <v>מצגות</v>
      </c>
      <c r="S186">
        <f ca="1"/>
        <v>175</v>
      </c>
      <c r="T186">
        <f ca="1"/>
        <v>1</v>
      </c>
    </row>
    <row r="187" spans="1:20">
      <c r="A187" s="18" t="s">
        <v>740</v>
      </c>
      <c r="B187" s="19" t="s">
        <v>49</v>
      </c>
      <c r="C187" s="19" t="s">
        <v>68</v>
      </c>
      <c r="D187" s="19" t="s">
        <v>40</v>
      </c>
      <c r="E187" s="19">
        <v>149</v>
      </c>
      <c r="F187" s="19">
        <v>16</v>
      </c>
      <c r="G187" s="19" t="s">
        <v>52</v>
      </c>
      <c r="H187" s="20">
        <v>6779</v>
      </c>
      <c r="J187" t="str">
        <v>ירושלים</v>
      </c>
      <c r="K187" t="str">
        <v>פאוור פוינט</v>
      </c>
      <c r="L187" t="str">
        <v>מצגות</v>
      </c>
      <c r="M187">
        <v>175</v>
      </c>
      <c r="N187">
        <v>20</v>
      </c>
      <c r="P187" t="str">
        <f ca="1"/>
        <v>קרית שמונה</v>
      </c>
      <c r="Q187" t="str">
        <f ca="1"/>
        <v>וורד</v>
      </c>
      <c r="R187" t="str">
        <f ca="1"/>
        <v>משרדית</v>
      </c>
      <c r="S187">
        <f ca="1"/>
        <v>350</v>
      </c>
      <c r="T187">
        <f ca="1"/>
        <v>8</v>
      </c>
    </row>
    <row r="188" spans="1:20">
      <c r="A188" s="18" t="s">
        <v>741</v>
      </c>
      <c r="B188" s="19" t="s">
        <v>24</v>
      </c>
      <c r="C188" s="19" t="s">
        <v>50</v>
      </c>
      <c r="D188" s="19" t="s">
        <v>51</v>
      </c>
      <c r="E188" s="19">
        <v>139</v>
      </c>
      <c r="F188" s="19">
        <v>11</v>
      </c>
      <c r="G188" s="19" t="s">
        <v>27</v>
      </c>
      <c r="H188" s="20">
        <v>14008</v>
      </c>
      <c r="J188" t="str">
        <v>ירושלים</v>
      </c>
      <c r="K188" t="str">
        <v>אקסל</v>
      </c>
      <c r="L188" t="str">
        <v>משרדית</v>
      </c>
      <c r="M188">
        <v>555</v>
      </c>
      <c r="N188">
        <v>4</v>
      </c>
      <c r="P188" t="str">
        <f ca="1"/>
        <v>מכבים</v>
      </c>
      <c r="Q188" t="str">
        <f ca="1"/>
        <v>ווין-זיפ 8</v>
      </c>
      <c r="R188" t="str">
        <f ca="1"/>
        <v>דחיסה</v>
      </c>
      <c r="S188">
        <f ca="1"/>
        <v>199</v>
      </c>
      <c r="T188">
        <f ca="1"/>
        <v>19</v>
      </c>
    </row>
    <row r="189" spans="1:20">
      <c r="A189" s="18" t="s">
        <v>741</v>
      </c>
      <c r="B189" s="19" t="s">
        <v>81</v>
      </c>
      <c r="C189" s="19" t="s">
        <v>71</v>
      </c>
      <c r="D189" s="19" t="s">
        <v>30</v>
      </c>
      <c r="E189" s="19">
        <v>555</v>
      </c>
      <c r="F189" s="19">
        <v>22</v>
      </c>
      <c r="G189" s="19" t="s">
        <v>86</v>
      </c>
      <c r="H189" s="20">
        <v>4304</v>
      </c>
      <c r="J189" t="str">
        <v>ירושלים</v>
      </c>
      <c r="K189" t="str">
        <v>אקסל</v>
      </c>
      <c r="L189" t="str">
        <v>משרדית</v>
      </c>
      <c r="M189">
        <v>555</v>
      </c>
      <c r="N189">
        <v>19</v>
      </c>
      <c r="P189" t="str">
        <f ca="1"/>
        <v>ירושלים</v>
      </c>
      <c r="Q189" t="str">
        <f ca="1"/>
        <v>איריס</v>
      </c>
      <c r="R189" t="str">
        <f ca="1"/>
        <v>אנטיוירוס</v>
      </c>
      <c r="S189">
        <f ca="1"/>
        <v>499</v>
      </c>
      <c r="T189">
        <f ca="1"/>
        <v>4</v>
      </c>
    </row>
    <row r="190" spans="1:20">
      <c r="A190" s="18" t="s">
        <v>742</v>
      </c>
      <c r="B190" s="19" t="s">
        <v>49</v>
      </c>
      <c r="C190" s="19" t="s">
        <v>73</v>
      </c>
      <c r="D190" s="19" t="s">
        <v>51</v>
      </c>
      <c r="E190" s="19">
        <v>119</v>
      </c>
      <c r="F190" s="19">
        <v>15</v>
      </c>
      <c r="G190" s="19" t="s">
        <v>79</v>
      </c>
      <c r="H190" s="20">
        <v>1562</v>
      </c>
      <c r="J190" t="str">
        <v>ירושלים</v>
      </c>
      <c r="K190" t="str">
        <v>אקסל</v>
      </c>
      <c r="L190" t="str">
        <v>משרדית</v>
      </c>
      <c r="M190">
        <v>555</v>
      </c>
      <c r="N190">
        <v>24</v>
      </c>
      <c r="P190" t="str">
        <f ca="1"/>
        <v>מכבים</v>
      </c>
      <c r="Q190" t="str">
        <f ca="1"/>
        <v>בבילון</v>
      </c>
      <c r="R190" t="str">
        <f ca="1"/>
        <v>משרדית</v>
      </c>
      <c r="S190">
        <f ca="1"/>
        <v>99</v>
      </c>
      <c r="T190">
        <f ca="1"/>
        <v>24</v>
      </c>
    </row>
    <row r="191" spans="1:20">
      <c r="A191" s="18" t="s">
        <v>743</v>
      </c>
      <c r="B191" s="19" t="s">
        <v>67</v>
      </c>
      <c r="C191" s="19" t="s">
        <v>62</v>
      </c>
      <c r="D191" s="19" t="s">
        <v>33</v>
      </c>
      <c r="E191" s="19">
        <v>629</v>
      </c>
      <c r="F191" s="19">
        <v>29</v>
      </c>
      <c r="G191" s="19" t="s">
        <v>72</v>
      </c>
      <c r="H191" s="20">
        <v>16919</v>
      </c>
      <c r="J191" t="str">
        <v>ירושלים</v>
      </c>
      <c r="K191" t="str">
        <v>אקסל</v>
      </c>
      <c r="L191" t="str">
        <v>משרדית</v>
      </c>
      <c r="M191">
        <v>555</v>
      </c>
      <c r="N191">
        <v>26</v>
      </c>
      <c r="P191" t="str">
        <f ca="1"/>
        <v>תל אביב</v>
      </c>
      <c r="Q191" t="str">
        <f ca="1"/>
        <v>אקסס</v>
      </c>
      <c r="R191" t="str">
        <f ca="1"/>
        <v>משרדית</v>
      </c>
      <c r="S191">
        <f ca="1"/>
        <v>95</v>
      </c>
      <c r="T191">
        <f ca="1"/>
        <v>14</v>
      </c>
    </row>
    <row r="192" spans="1:20">
      <c r="A192" s="18" t="s">
        <v>744</v>
      </c>
      <c r="B192" s="19" t="s">
        <v>28</v>
      </c>
      <c r="C192" s="19" t="s">
        <v>50</v>
      </c>
      <c r="D192" s="19" t="s">
        <v>51</v>
      </c>
      <c r="E192" s="19">
        <v>139</v>
      </c>
      <c r="F192" s="19">
        <v>23</v>
      </c>
      <c r="G192" s="19" t="s">
        <v>43</v>
      </c>
      <c r="H192" s="20">
        <v>7094</v>
      </c>
      <c r="J192" t="str">
        <v>ירושלים</v>
      </c>
      <c r="K192" t="str">
        <v>אקסס</v>
      </c>
      <c r="L192" t="str">
        <v>משרדית</v>
      </c>
      <c r="M192">
        <v>95</v>
      </c>
      <c r="N192">
        <v>23</v>
      </c>
      <c r="P192" t="str">
        <f ca="1"/>
        <v>ראשון לציון</v>
      </c>
      <c r="Q192" t="str">
        <f ca="1"/>
        <v>בבילון</v>
      </c>
      <c r="R192" t="str">
        <f ca="1"/>
        <v>משרדית</v>
      </c>
      <c r="S192">
        <f ca="1"/>
        <v>99</v>
      </c>
      <c r="T192">
        <f ca="1"/>
        <v>28</v>
      </c>
    </row>
    <row r="193" spans="1:20">
      <c r="A193" s="18">
        <v>44932</v>
      </c>
      <c r="B193" s="19" t="s">
        <v>67</v>
      </c>
      <c r="C193" s="19" t="s">
        <v>48</v>
      </c>
      <c r="D193" s="19" t="s">
        <v>30</v>
      </c>
      <c r="E193" s="19">
        <v>95</v>
      </c>
      <c r="F193" s="19">
        <v>2</v>
      </c>
      <c r="G193" s="19" t="s">
        <v>69</v>
      </c>
      <c r="H193" s="20">
        <v>17876</v>
      </c>
      <c r="J193" t="str">
        <v>ירושלים</v>
      </c>
      <c r="K193" t="str">
        <v>אקסס</v>
      </c>
      <c r="L193" t="str">
        <v>משרדית</v>
      </c>
      <c r="M193">
        <v>95</v>
      </c>
      <c r="N193">
        <v>14</v>
      </c>
      <c r="P193" t="str">
        <f ca="1"/>
        <v>ראשון לציון</v>
      </c>
      <c r="Q193" t="str">
        <f ca="1"/>
        <v>אסטאונד</v>
      </c>
      <c r="R193" t="str">
        <f ca="1"/>
        <v>מצגות</v>
      </c>
      <c r="S193">
        <f ca="1"/>
        <v>399</v>
      </c>
      <c r="T193">
        <f ca="1"/>
        <v>23</v>
      </c>
    </row>
    <row r="194" spans="1:20">
      <c r="A194" s="18">
        <v>44932</v>
      </c>
      <c r="B194" s="19" t="s">
        <v>55</v>
      </c>
      <c r="C194" s="19" t="s">
        <v>61</v>
      </c>
      <c r="D194" s="19" t="s">
        <v>45</v>
      </c>
      <c r="E194" s="19">
        <v>199</v>
      </c>
      <c r="F194" s="19">
        <v>14</v>
      </c>
      <c r="G194" s="19" t="s">
        <v>66</v>
      </c>
      <c r="H194" s="20">
        <v>2768</v>
      </c>
      <c r="J194" t="str">
        <v>ירושלים</v>
      </c>
      <c r="K194" t="str">
        <v>אקסס</v>
      </c>
      <c r="L194" t="str">
        <v>משרדית</v>
      </c>
      <c r="M194">
        <v>95</v>
      </c>
      <c r="N194">
        <v>19</v>
      </c>
      <c r="P194" t="str">
        <f ca="1"/>
        <v>חיפה</v>
      </c>
      <c r="Q194" t="str">
        <f ca="1"/>
        <v>פנל תמיכת החלטות</v>
      </c>
      <c r="R194" t="str">
        <f ca="1"/>
        <v>משרדית</v>
      </c>
      <c r="S194">
        <f ca="1"/>
        <v>899</v>
      </c>
      <c r="T194">
        <f ca="1"/>
        <v>26</v>
      </c>
    </row>
    <row r="195" spans="1:20">
      <c r="A195" s="18">
        <v>44932</v>
      </c>
      <c r="B195" s="19" t="s">
        <v>49</v>
      </c>
      <c r="C195" s="19" t="s">
        <v>25</v>
      </c>
      <c r="D195" s="19" t="s">
        <v>26</v>
      </c>
      <c r="E195" s="19">
        <v>280</v>
      </c>
      <c r="F195" s="19">
        <v>32</v>
      </c>
      <c r="G195" s="19" t="s">
        <v>54</v>
      </c>
      <c r="H195" s="20">
        <v>1237</v>
      </c>
      <c r="J195" t="str">
        <v>ירושלים</v>
      </c>
      <c r="K195" t="str">
        <v>אקרובט</v>
      </c>
      <c r="L195" t="str">
        <v>משרדית</v>
      </c>
      <c r="M195">
        <v>599</v>
      </c>
      <c r="N195">
        <v>23</v>
      </c>
      <c r="P195" t="str">
        <f ca="1"/>
        <v>מכבים</v>
      </c>
      <c r="Q195" t="str">
        <f ca="1"/>
        <v>פגפ</v>
      </c>
      <c r="R195" t="str">
        <f ca="1"/>
        <v>אבטחה</v>
      </c>
      <c r="S195">
        <f ca="1"/>
        <v>299</v>
      </c>
      <c r="T195">
        <f ca="1"/>
        <v>32</v>
      </c>
    </row>
    <row r="196" spans="1:20">
      <c r="A196" s="18">
        <v>44991</v>
      </c>
      <c r="B196" s="19" t="s">
        <v>38</v>
      </c>
      <c r="C196" s="19" t="s">
        <v>53</v>
      </c>
      <c r="D196" s="19" t="s">
        <v>40</v>
      </c>
      <c r="E196" s="19">
        <v>229</v>
      </c>
      <c r="F196" s="19">
        <v>23</v>
      </c>
      <c r="G196" s="19" t="s">
        <v>64</v>
      </c>
      <c r="H196" s="20">
        <v>14197</v>
      </c>
      <c r="J196" t="str">
        <v>ירושלים</v>
      </c>
      <c r="K196" t="str">
        <v>אקרובט</v>
      </c>
      <c r="L196" t="str">
        <v>משרדית</v>
      </c>
      <c r="M196">
        <v>599</v>
      </c>
      <c r="N196">
        <v>13</v>
      </c>
      <c r="P196" t="str">
        <f ca="1"/>
        <v>ראשון לציון</v>
      </c>
      <c r="Q196" t="str">
        <f ca="1"/>
        <v>איריס</v>
      </c>
      <c r="R196" t="str">
        <f ca="1"/>
        <v>אנטיוירוס</v>
      </c>
      <c r="S196">
        <f ca="1"/>
        <v>499</v>
      </c>
      <c r="T196">
        <f ca="1"/>
        <v>19</v>
      </c>
    </row>
    <row r="197" spans="1:20">
      <c r="A197" s="18">
        <v>45022</v>
      </c>
      <c r="B197" s="19" t="s">
        <v>24</v>
      </c>
      <c r="C197" s="19" t="s">
        <v>44</v>
      </c>
      <c r="D197" s="19" t="s">
        <v>45</v>
      </c>
      <c r="E197" s="19">
        <v>99</v>
      </c>
      <c r="F197" s="19">
        <v>2</v>
      </c>
      <c r="G197" s="19" t="s">
        <v>76</v>
      </c>
      <c r="H197" s="20">
        <v>19596</v>
      </c>
      <c r="J197" t="str">
        <v>ירושלים</v>
      </c>
      <c r="K197" t="str">
        <v>בבילון</v>
      </c>
      <c r="L197" t="str">
        <v>משרדית</v>
      </c>
      <c r="M197">
        <v>99</v>
      </c>
      <c r="N197">
        <v>25</v>
      </c>
      <c r="P197" t="str">
        <f ca="1"/>
        <v>ראשון לציון</v>
      </c>
      <c r="Q197" t="str">
        <f ca="1"/>
        <v>נורטון</v>
      </c>
      <c r="R197" t="str">
        <f ca="1"/>
        <v>אנטיוירוס</v>
      </c>
      <c r="S197">
        <f ca="1"/>
        <v>629</v>
      </c>
      <c r="T197">
        <f ca="1"/>
        <v>12</v>
      </c>
    </row>
    <row r="198" spans="1:20">
      <c r="A198" s="18">
        <v>45052</v>
      </c>
      <c r="B198" s="19" t="s">
        <v>24</v>
      </c>
      <c r="C198" s="19" t="s">
        <v>47</v>
      </c>
      <c r="D198" s="19" t="s">
        <v>30</v>
      </c>
      <c r="E198" s="19">
        <v>99</v>
      </c>
      <c r="F198" s="19">
        <v>2</v>
      </c>
      <c r="G198" s="19" t="s">
        <v>46</v>
      </c>
      <c r="H198" s="20">
        <v>17248</v>
      </c>
      <c r="J198" t="str">
        <v>ירושלים</v>
      </c>
      <c r="K198" t="str">
        <v>בבילון</v>
      </c>
      <c r="L198" t="str">
        <v>משרדית</v>
      </c>
      <c r="M198">
        <v>99</v>
      </c>
      <c r="N198">
        <v>26</v>
      </c>
      <c r="P198" t="str">
        <f ca="1"/>
        <v>חיפה</v>
      </c>
      <c r="Q198" t="str">
        <f ca="1"/>
        <v>וורד</v>
      </c>
      <c r="R198" t="str">
        <f ca="1"/>
        <v>משרדית</v>
      </c>
      <c r="S198">
        <f ca="1"/>
        <v>350</v>
      </c>
      <c r="T198">
        <f ca="1"/>
        <v>22</v>
      </c>
    </row>
    <row r="199" spans="1:20">
      <c r="A199" s="18">
        <v>45083</v>
      </c>
      <c r="B199" s="19" t="s">
        <v>38</v>
      </c>
      <c r="C199" s="19" t="s">
        <v>47</v>
      </c>
      <c r="D199" s="19" t="s">
        <v>30</v>
      </c>
      <c r="E199" s="19">
        <v>99</v>
      </c>
      <c r="F199" s="19">
        <v>2</v>
      </c>
      <c r="G199" s="19" t="s">
        <v>64</v>
      </c>
      <c r="H199" s="20">
        <v>9068</v>
      </c>
      <c r="J199" t="str">
        <v>ירושלים</v>
      </c>
      <c r="K199" t="str">
        <v>בבילון</v>
      </c>
      <c r="L199" t="str">
        <v>משרדית</v>
      </c>
      <c r="M199">
        <v>99</v>
      </c>
      <c r="N199">
        <v>10</v>
      </c>
      <c r="P199" t="str">
        <f ca="1"/>
        <v>תל אביב</v>
      </c>
      <c r="Q199" t="str">
        <f ca="1"/>
        <v>פגפ</v>
      </c>
      <c r="R199" t="str">
        <f ca="1"/>
        <v>אבטחה</v>
      </c>
      <c r="S199">
        <f ca="1"/>
        <v>299</v>
      </c>
      <c r="T199">
        <f ca="1"/>
        <v>1</v>
      </c>
    </row>
    <row r="200" spans="1:20">
      <c r="A200" s="18">
        <v>45113</v>
      </c>
      <c r="B200" s="19" t="s">
        <v>24</v>
      </c>
      <c r="C200" s="19" t="s">
        <v>50</v>
      </c>
      <c r="D200" s="19" t="s">
        <v>51</v>
      </c>
      <c r="E200" s="19">
        <v>139</v>
      </c>
      <c r="F200" s="19">
        <v>24</v>
      </c>
      <c r="G200" s="19" t="s">
        <v>37</v>
      </c>
      <c r="H200" s="20">
        <v>3904</v>
      </c>
      <c r="J200" t="str">
        <v>ירושלים</v>
      </c>
      <c r="K200" t="str">
        <v>וורד</v>
      </c>
      <c r="L200" t="str">
        <v>משרדית</v>
      </c>
      <c r="M200">
        <v>350</v>
      </c>
      <c r="N200">
        <v>9</v>
      </c>
      <c r="P200" t="str">
        <f ca="1"/>
        <v>חיפה</v>
      </c>
      <c r="Q200" t="str">
        <f ca="1"/>
        <v>אקסס</v>
      </c>
      <c r="R200" t="str">
        <f ca="1"/>
        <v>משרדית</v>
      </c>
      <c r="S200">
        <f ca="1"/>
        <v>95</v>
      </c>
      <c r="T200">
        <f ca="1"/>
        <v>7</v>
      </c>
    </row>
    <row r="201" spans="1:20">
      <c r="A201" s="18">
        <v>45113</v>
      </c>
      <c r="B201" s="19" t="s">
        <v>49</v>
      </c>
      <c r="C201" s="19" t="s">
        <v>50</v>
      </c>
      <c r="D201" s="19" t="s">
        <v>51</v>
      </c>
      <c r="E201" s="19">
        <v>139</v>
      </c>
      <c r="F201" s="19">
        <v>20</v>
      </c>
      <c r="G201" s="19" t="s">
        <v>54</v>
      </c>
      <c r="H201" s="20">
        <v>6105</v>
      </c>
      <c r="J201" t="str">
        <v>ירושלים</v>
      </c>
      <c r="K201" t="str">
        <v>וורד</v>
      </c>
      <c r="L201" t="str">
        <v>משרדית</v>
      </c>
      <c r="M201">
        <v>350</v>
      </c>
      <c r="N201">
        <v>17</v>
      </c>
      <c r="P201" t="str">
        <f ca="1"/>
        <v>קרית שמונה</v>
      </c>
      <c r="Q201" t="str">
        <f ca="1"/>
        <v>אקסס</v>
      </c>
      <c r="R201" t="str">
        <f ca="1"/>
        <v>משרדית</v>
      </c>
      <c r="S201">
        <f ca="1"/>
        <v>95</v>
      </c>
      <c r="T201">
        <f ca="1"/>
        <v>14</v>
      </c>
    </row>
    <row r="202" spans="1:20">
      <c r="A202" s="18">
        <v>45113</v>
      </c>
      <c r="B202" s="19" t="s">
        <v>28</v>
      </c>
      <c r="C202" s="19" t="s">
        <v>29</v>
      </c>
      <c r="D202" s="19" t="s">
        <v>30</v>
      </c>
      <c r="E202" s="19">
        <v>899</v>
      </c>
      <c r="F202" s="19">
        <v>6</v>
      </c>
      <c r="G202" s="19" t="s">
        <v>43</v>
      </c>
      <c r="H202" s="20">
        <v>11215</v>
      </c>
      <c r="J202" t="str">
        <v>ירושלים</v>
      </c>
      <c r="K202" t="str">
        <v>וורד</v>
      </c>
      <c r="L202" t="str">
        <v>משרדית</v>
      </c>
      <c r="M202">
        <v>350</v>
      </c>
      <c r="N202">
        <v>20</v>
      </c>
      <c r="P202" t="str">
        <f ca="1"/>
        <v>חיפה</v>
      </c>
      <c r="Q202" t="str">
        <f ca="1"/>
        <v>ווין-זיפ 8</v>
      </c>
      <c r="R202" t="str">
        <f ca="1"/>
        <v>דחיסה</v>
      </c>
      <c r="S202">
        <f ca="1"/>
        <v>199</v>
      </c>
      <c r="T202">
        <f ca="1"/>
        <v>32</v>
      </c>
    </row>
    <row r="203" spans="1:20">
      <c r="A203" s="18">
        <v>45144</v>
      </c>
      <c r="B203" s="19" t="s">
        <v>55</v>
      </c>
      <c r="C203" s="19" t="s">
        <v>25</v>
      </c>
      <c r="D203" s="19" t="s">
        <v>26</v>
      </c>
      <c r="E203" s="19">
        <v>280</v>
      </c>
      <c r="F203" s="19">
        <v>22</v>
      </c>
      <c r="G203" s="19" t="s">
        <v>80</v>
      </c>
      <c r="H203" s="20">
        <v>14549</v>
      </c>
      <c r="J203" t="str">
        <v>ירושלים</v>
      </c>
      <c r="K203" t="str">
        <v>וורד</v>
      </c>
      <c r="L203" t="str">
        <v>משרדית</v>
      </c>
      <c r="M203">
        <v>350</v>
      </c>
      <c r="N203">
        <v>14</v>
      </c>
      <c r="P203" t="str">
        <f ca="1"/>
        <v>אילת</v>
      </c>
      <c r="Q203" t="str">
        <f ca="1"/>
        <v>פגפ</v>
      </c>
      <c r="R203" t="str">
        <f ca="1"/>
        <v>אבטחה</v>
      </c>
      <c r="S203">
        <f ca="1"/>
        <v>299</v>
      </c>
      <c r="T203">
        <f ca="1"/>
        <v>18</v>
      </c>
    </row>
    <row r="204" spans="1:20">
      <c r="A204" s="18">
        <v>45144</v>
      </c>
      <c r="B204" s="19" t="s">
        <v>55</v>
      </c>
      <c r="C204" s="19" t="s">
        <v>53</v>
      </c>
      <c r="D204" s="19" t="s">
        <v>40</v>
      </c>
      <c r="E204" s="19">
        <v>229</v>
      </c>
      <c r="F204" s="19">
        <v>30</v>
      </c>
      <c r="G204" s="19" t="s">
        <v>59</v>
      </c>
      <c r="H204" s="20">
        <v>8938</v>
      </c>
      <c r="J204" t="str">
        <v>ירושלים</v>
      </c>
      <c r="K204" t="str">
        <v>יודורה</v>
      </c>
      <c r="L204" t="str">
        <v>משרדית</v>
      </c>
      <c r="M204">
        <v>59</v>
      </c>
      <c r="N204">
        <v>29</v>
      </c>
      <c r="P204" t="str">
        <f ca="1"/>
        <v>ירושלים</v>
      </c>
      <c r="Q204" t="str">
        <f ca="1"/>
        <v>פאוור פוינט</v>
      </c>
      <c r="R204" t="str">
        <f ca="1"/>
        <v>מצגות</v>
      </c>
      <c r="S204">
        <f ca="1"/>
        <v>175</v>
      </c>
      <c r="T204">
        <f ca="1"/>
        <v>25</v>
      </c>
    </row>
    <row r="205" spans="1:20">
      <c r="A205" s="18">
        <v>45144</v>
      </c>
      <c r="B205" s="19" t="s">
        <v>28</v>
      </c>
      <c r="C205" s="19" t="s">
        <v>85</v>
      </c>
      <c r="D205" s="19" t="s">
        <v>51</v>
      </c>
      <c r="E205" s="19">
        <v>75</v>
      </c>
      <c r="F205" s="19">
        <v>8</v>
      </c>
      <c r="G205" s="19" t="s">
        <v>43</v>
      </c>
      <c r="H205" s="20">
        <v>3253</v>
      </c>
      <c r="J205" t="str">
        <v>ירושלים</v>
      </c>
      <c r="K205" t="str">
        <v>יודורה</v>
      </c>
      <c r="L205" t="str">
        <v>משרדית</v>
      </c>
      <c r="M205">
        <v>59</v>
      </c>
      <c r="N205">
        <v>11</v>
      </c>
      <c r="P205" t="str">
        <f ca="1"/>
        <v>תל אביב</v>
      </c>
      <c r="Q205" t="str">
        <f ca="1"/>
        <v>נורטון</v>
      </c>
      <c r="R205" t="str">
        <f ca="1"/>
        <v>אנטיוירוס</v>
      </c>
      <c r="S205">
        <f ca="1"/>
        <v>629</v>
      </c>
      <c r="T205">
        <f ca="1"/>
        <v>27</v>
      </c>
    </row>
    <row r="206" spans="1:20">
      <c r="A206" s="18">
        <v>45144</v>
      </c>
      <c r="B206" s="19" t="s">
        <v>49</v>
      </c>
      <c r="C206" s="19" t="s">
        <v>50</v>
      </c>
      <c r="D206" s="19" t="s">
        <v>51</v>
      </c>
      <c r="E206" s="19">
        <v>139</v>
      </c>
      <c r="F206" s="19">
        <v>29</v>
      </c>
      <c r="G206" s="19" t="s">
        <v>52</v>
      </c>
      <c r="H206" s="20">
        <v>12207</v>
      </c>
      <c r="J206" t="str">
        <v>ירושלים</v>
      </c>
      <c r="K206" t="str">
        <v>יודורה</v>
      </c>
      <c r="L206" t="str">
        <v>משרדית</v>
      </c>
      <c r="M206">
        <v>59</v>
      </c>
      <c r="N206">
        <v>3</v>
      </c>
      <c r="P206" t="str">
        <f ca="1"/>
        <v>קרית שמונה</v>
      </c>
      <c r="Q206" t="str">
        <f ca="1"/>
        <v>בבילון</v>
      </c>
      <c r="R206" t="str">
        <f ca="1"/>
        <v>משרדית</v>
      </c>
      <c r="S206">
        <f ca="1"/>
        <v>99</v>
      </c>
      <c r="T206">
        <f ca="1"/>
        <v>1</v>
      </c>
    </row>
    <row r="207" spans="1:20">
      <c r="A207" s="18">
        <v>45144</v>
      </c>
      <c r="B207" s="19" t="s">
        <v>67</v>
      </c>
      <c r="C207" s="19" t="s">
        <v>35</v>
      </c>
      <c r="D207" s="19" t="s">
        <v>30</v>
      </c>
      <c r="E207" s="19">
        <v>599</v>
      </c>
      <c r="F207" s="19">
        <v>21</v>
      </c>
      <c r="G207" s="19" t="s">
        <v>78</v>
      </c>
      <c r="H207" s="20">
        <v>8885</v>
      </c>
      <c r="J207" t="str">
        <v>ירושלים</v>
      </c>
      <c r="K207" t="str">
        <v>יודורה</v>
      </c>
      <c r="L207" t="str">
        <v>משרדית</v>
      </c>
      <c r="M207">
        <v>59</v>
      </c>
      <c r="N207">
        <v>8</v>
      </c>
      <c r="P207" t="str">
        <f ca="1"/>
        <v>אילת</v>
      </c>
      <c r="Q207" t="str">
        <f ca="1"/>
        <v>פאוור פוינט</v>
      </c>
      <c r="R207" t="str">
        <f ca="1"/>
        <v>מצגות</v>
      </c>
      <c r="S207">
        <f ca="1"/>
        <v>175</v>
      </c>
      <c r="T207">
        <f ca="1"/>
        <v>32</v>
      </c>
    </row>
    <row r="208" spans="1:20">
      <c r="A208" s="18">
        <v>45144</v>
      </c>
      <c r="B208" s="19" t="s">
        <v>49</v>
      </c>
      <c r="C208" s="19" t="s">
        <v>53</v>
      </c>
      <c r="D208" s="19" t="s">
        <v>40</v>
      </c>
      <c r="E208" s="19">
        <v>229</v>
      </c>
      <c r="F208" s="19">
        <v>32</v>
      </c>
      <c r="G208" s="19" t="s">
        <v>70</v>
      </c>
      <c r="H208" s="20">
        <v>2860</v>
      </c>
      <c r="J208" t="str">
        <v>ירושלים</v>
      </c>
      <c r="K208" t="str">
        <v>יודורה</v>
      </c>
      <c r="L208" t="str">
        <v>משרדית</v>
      </c>
      <c r="M208">
        <v>59</v>
      </c>
      <c r="N208">
        <v>24</v>
      </c>
      <c r="P208" t="str">
        <f ca="1"/>
        <v>תל אביב</v>
      </c>
      <c r="Q208" t="str">
        <f ca="1"/>
        <v>אקסל</v>
      </c>
      <c r="R208" t="str">
        <f ca="1"/>
        <v>משרדית</v>
      </c>
      <c r="S208">
        <f ca="1"/>
        <v>555</v>
      </c>
      <c r="T208">
        <f ca="1"/>
        <v>18</v>
      </c>
    </row>
    <row r="209" spans="1:20">
      <c r="A209" s="18">
        <v>45144</v>
      </c>
      <c r="B209" s="19" t="s">
        <v>38</v>
      </c>
      <c r="C209" s="19" t="s">
        <v>25</v>
      </c>
      <c r="D209" s="19" t="s">
        <v>26</v>
      </c>
      <c r="E209" s="19">
        <v>280</v>
      </c>
      <c r="F209" s="19">
        <v>27</v>
      </c>
      <c r="G209" s="19" t="s">
        <v>41</v>
      </c>
      <c r="H209" s="20">
        <v>6284</v>
      </c>
      <c r="J209" t="str">
        <v>ירושלים</v>
      </c>
      <c r="K209" t="str">
        <v>פנל תמיכת החלטות</v>
      </c>
      <c r="L209" t="str">
        <v>משרדית</v>
      </c>
      <c r="M209">
        <v>899</v>
      </c>
      <c r="N209">
        <v>20</v>
      </c>
      <c r="P209" t="str">
        <f ca="1"/>
        <v>תל אביב</v>
      </c>
      <c r="Q209" t="str">
        <f ca="1"/>
        <v>אקסל</v>
      </c>
      <c r="R209" t="str">
        <f ca="1"/>
        <v>משרדית</v>
      </c>
      <c r="S209">
        <f ca="1"/>
        <v>555</v>
      </c>
      <c r="T209">
        <f ca="1"/>
        <v>18</v>
      </c>
    </row>
    <row r="210" spans="1:20">
      <c r="A210" s="18">
        <v>45175</v>
      </c>
      <c r="B210" s="19" t="s">
        <v>38</v>
      </c>
      <c r="C210" s="19" t="s">
        <v>57</v>
      </c>
      <c r="D210" s="19" t="s">
        <v>58</v>
      </c>
      <c r="E210" s="19">
        <v>175</v>
      </c>
      <c r="F210" s="19">
        <v>10</v>
      </c>
      <c r="G210" s="19" t="s">
        <v>63</v>
      </c>
      <c r="H210" s="20">
        <v>8590</v>
      </c>
      <c r="J210" t="str">
        <v>ירושלים</v>
      </c>
      <c r="K210" t="str">
        <v>פנל תמיכת החלטות</v>
      </c>
      <c r="L210" t="str">
        <v>משרדית</v>
      </c>
      <c r="M210">
        <v>899</v>
      </c>
      <c r="N210">
        <v>6</v>
      </c>
      <c r="P210" t="str">
        <f ca="1"/>
        <v>תל אביב</v>
      </c>
      <c r="Q210" t="str">
        <f ca="1"/>
        <v>איריס</v>
      </c>
      <c r="R210" t="str">
        <f ca="1"/>
        <v>אנטיוירוס</v>
      </c>
      <c r="S210">
        <f ca="1"/>
        <v>499</v>
      </c>
      <c r="T210">
        <f ca="1"/>
        <v>12</v>
      </c>
    </row>
    <row r="211" spans="1:20">
      <c r="A211" s="18">
        <v>45175</v>
      </c>
      <c r="B211" s="19" t="s">
        <v>55</v>
      </c>
      <c r="C211" s="19" t="s">
        <v>50</v>
      </c>
      <c r="D211" s="19" t="s">
        <v>51</v>
      </c>
      <c r="E211" s="19">
        <v>139</v>
      </c>
      <c r="F211" s="19">
        <v>32</v>
      </c>
      <c r="G211" s="19" t="s">
        <v>59</v>
      </c>
      <c r="H211" s="20">
        <v>1871</v>
      </c>
      <c r="J211" t="str">
        <v>ירושלים</v>
      </c>
      <c r="K211" t="str">
        <v>פנל תמיכת החלטות</v>
      </c>
      <c r="L211" t="str">
        <v>משרדית</v>
      </c>
      <c r="M211">
        <v>899</v>
      </c>
      <c r="N211">
        <v>33</v>
      </c>
      <c r="P211" t="str">
        <f ca="1"/>
        <v>ירושלים</v>
      </c>
      <c r="Q211" t="str">
        <f ca="1"/>
        <v>אסטאונד</v>
      </c>
      <c r="R211" t="str">
        <f ca="1"/>
        <v>מצגות</v>
      </c>
      <c r="S211">
        <f ca="1"/>
        <v>399</v>
      </c>
      <c r="T211">
        <f ca="1"/>
        <v>14</v>
      </c>
    </row>
    <row r="212" spans="1:20">
      <c r="A212" s="18">
        <v>45205</v>
      </c>
      <c r="B212" s="19" t="s">
        <v>28</v>
      </c>
      <c r="C212" s="19" t="s">
        <v>25</v>
      </c>
      <c r="D212" s="19" t="s">
        <v>26</v>
      </c>
      <c r="E212" s="19">
        <v>280</v>
      </c>
      <c r="F212" s="19">
        <v>1</v>
      </c>
      <c r="G212" s="19" t="s">
        <v>31</v>
      </c>
      <c r="H212" s="20">
        <v>15685</v>
      </c>
      <c r="J212" t="str">
        <v>ירושלים</v>
      </c>
      <c r="K212" t="str">
        <v>פנל תמיכת החלטות</v>
      </c>
      <c r="L212" t="str">
        <v>משרדית</v>
      </c>
      <c r="M212">
        <v>899</v>
      </c>
      <c r="N212">
        <v>16</v>
      </c>
      <c r="P212" t="str">
        <f ca="1"/>
        <v>מכבים</v>
      </c>
      <c r="Q212" t="str">
        <f ca="1"/>
        <v>אקרובט</v>
      </c>
      <c r="R212" t="str">
        <f ca="1"/>
        <v>משרדית</v>
      </c>
      <c r="S212">
        <f ca="1"/>
        <v>599</v>
      </c>
      <c r="T212">
        <f ca="1"/>
        <v>19</v>
      </c>
    </row>
    <row r="213" spans="1:20">
      <c r="A213" s="18">
        <v>45205</v>
      </c>
      <c r="B213" s="19" t="s">
        <v>24</v>
      </c>
      <c r="C213" s="19" t="s">
        <v>50</v>
      </c>
      <c r="D213" s="19" t="s">
        <v>51</v>
      </c>
      <c r="E213" s="19">
        <v>139</v>
      </c>
      <c r="F213" s="19">
        <v>2</v>
      </c>
      <c r="G213" s="19" t="s">
        <v>37</v>
      </c>
      <c r="H213" s="20">
        <v>2811</v>
      </c>
      <c r="J213" t="str">
        <v>ירושלים</v>
      </c>
      <c r="K213" t="str">
        <v>פנל תמיכת החלטות</v>
      </c>
      <c r="L213" t="str">
        <v>משרדית</v>
      </c>
      <c r="M213">
        <v>899</v>
      </c>
      <c r="N213">
        <v>11</v>
      </c>
      <c r="P213" t="str">
        <f ca="1"/>
        <v>חיפה</v>
      </c>
      <c r="Q213" t="str">
        <f ca="1"/>
        <v>נגן ריל פלייר 1</v>
      </c>
      <c r="R213" t="str">
        <f ca="1"/>
        <v>בידור</v>
      </c>
      <c r="S213">
        <f ca="1"/>
        <v>139</v>
      </c>
      <c r="T213">
        <f ca="1"/>
        <v>29</v>
      </c>
    </row>
    <row r="214" spans="1:20">
      <c r="A214" s="18">
        <v>45266</v>
      </c>
      <c r="B214" s="19" t="s">
        <v>55</v>
      </c>
      <c r="C214" s="19" t="s">
        <v>29</v>
      </c>
      <c r="D214" s="19" t="s">
        <v>30</v>
      </c>
      <c r="E214" s="19">
        <v>899</v>
      </c>
      <c r="F214" s="19">
        <v>6</v>
      </c>
      <c r="G214" s="19" t="s">
        <v>56</v>
      </c>
      <c r="H214" s="20">
        <v>10762</v>
      </c>
      <c r="J214" t="str">
        <v>ירושלים</v>
      </c>
      <c r="K214" t="str">
        <v>קורל דרו</v>
      </c>
      <c r="L214" t="str">
        <v>שרטוט</v>
      </c>
      <c r="M214">
        <v>280</v>
      </c>
      <c r="N214">
        <v>32</v>
      </c>
      <c r="P214" t="str">
        <f ca="1"/>
        <v>אילת</v>
      </c>
      <c r="Q214" t="str">
        <f ca="1"/>
        <v>פגפ</v>
      </c>
      <c r="R214" t="str">
        <f ca="1"/>
        <v>אבטחה</v>
      </c>
      <c r="S214">
        <f ca="1"/>
        <v>299</v>
      </c>
      <c r="T214">
        <f ca="1"/>
        <v>11</v>
      </c>
    </row>
    <row r="215" spans="1:20">
      <c r="A215" s="18" t="s">
        <v>745</v>
      </c>
      <c r="B215" s="19" t="s">
        <v>28</v>
      </c>
      <c r="C215" s="19" t="s">
        <v>42</v>
      </c>
      <c r="D215" s="19" t="s">
        <v>30</v>
      </c>
      <c r="E215" s="19">
        <v>59</v>
      </c>
      <c r="F215" s="19">
        <v>25</v>
      </c>
      <c r="G215" s="19" t="s">
        <v>43</v>
      </c>
      <c r="H215" s="20">
        <v>13606</v>
      </c>
      <c r="J215" t="str">
        <v>ירושלים</v>
      </c>
      <c r="K215" t="str">
        <v>קורל דרו</v>
      </c>
      <c r="L215" t="str">
        <v>שרטוט</v>
      </c>
      <c r="M215">
        <v>280</v>
      </c>
      <c r="N215">
        <v>26</v>
      </c>
      <c r="P215" t="str">
        <f ca="1"/>
        <v>אילת</v>
      </c>
      <c r="Q215" t="str">
        <f ca="1"/>
        <v>בבילון</v>
      </c>
      <c r="R215" t="str">
        <f ca="1"/>
        <v>משרדית</v>
      </c>
      <c r="S215">
        <f ca="1"/>
        <v>99</v>
      </c>
      <c r="T215">
        <f ca="1"/>
        <v>15</v>
      </c>
    </row>
    <row r="216" spans="1:20">
      <c r="A216" s="18" t="s">
        <v>746</v>
      </c>
      <c r="B216" s="19" t="s">
        <v>38</v>
      </c>
      <c r="C216" s="19" t="s">
        <v>47</v>
      </c>
      <c r="D216" s="19" t="s">
        <v>30</v>
      </c>
      <c r="E216" s="19">
        <v>99</v>
      </c>
      <c r="F216" s="19">
        <v>16</v>
      </c>
      <c r="G216" s="19" t="s">
        <v>63</v>
      </c>
      <c r="H216" s="20">
        <v>10536</v>
      </c>
      <c r="J216" t="str">
        <v>ירושלים</v>
      </c>
      <c r="K216" t="str">
        <v>קורל דרו</v>
      </c>
      <c r="L216" t="str">
        <v>שרטוט</v>
      </c>
      <c r="M216">
        <v>280</v>
      </c>
      <c r="N216">
        <v>22</v>
      </c>
      <c r="P216" t="str">
        <f ca="1"/>
        <v>ירושלים</v>
      </c>
      <c r="Q216" t="str">
        <f ca="1"/>
        <v>יודורה</v>
      </c>
      <c r="R216" t="str">
        <f ca="1"/>
        <v>משרדית</v>
      </c>
      <c r="S216">
        <f ca="1"/>
        <v>59</v>
      </c>
      <c r="T216">
        <f ca="1"/>
        <v>29</v>
      </c>
    </row>
    <row r="217" spans="1:20">
      <c r="A217" s="18" t="s">
        <v>747</v>
      </c>
      <c r="B217" s="19" t="s">
        <v>49</v>
      </c>
      <c r="C217" s="19" t="s">
        <v>50</v>
      </c>
      <c r="D217" s="19" t="s">
        <v>51</v>
      </c>
      <c r="E217" s="19">
        <v>139</v>
      </c>
      <c r="F217" s="19">
        <v>30</v>
      </c>
      <c r="G217" s="19" t="s">
        <v>52</v>
      </c>
      <c r="H217" s="20">
        <v>16104</v>
      </c>
      <c r="J217" t="str">
        <v>ירושלים</v>
      </c>
      <c r="K217" t="str">
        <v>קורל דרו</v>
      </c>
      <c r="L217" t="str">
        <v>שרטוט</v>
      </c>
      <c r="M217">
        <v>280</v>
      </c>
      <c r="N217">
        <v>9</v>
      </c>
      <c r="P217" t="str">
        <f ca="1"/>
        <v>חיפה</v>
      </c>
      <c r="Q217" t="str">
        <f ca="1"/>
        <v>פאוור פוינט</v>
      </c>
      <c r="R217" t="str">
        <f ca="1"/>
        <v>מצגות</v>
      </c>
      <c r="S217">
        <f ca="1"/>
        <v>175</v>
      </c>
      <c r="T217">
        <f ca="1"/>
        <v>18</v>
      </c>
    </row>
    <row r="218" spans="1:20">
      <c r="A218" s="18" t="s">
        <v>747</v>
      </c>
      <c r="B218" s="19" t="s">
        <v>55</v>
      </c>
      <c r="C218" s="19" t="s">
        <v>65</v>
      </c>
      <c r="D218" s="19" t="s">
        <v>58</v>
      </c>
      <c r="E218" s="19">
        <v>399</v>
      </c>
      <c r="F218" s="19">
        <v>21</v>
      </c>
      <c r="G218" s="19" t="s">
        <v>80</v>
      </c>
      <c r="H218" s="20">
        <v>19979</v>
      </c>
      <c r="J218" t="str">
        <v>מכבים</v>
      </c>
      <c r="K218" t="str">
        <v>פגפ</v>
      </c>
      <c r="L218" t="str">
        <v>אבטחה</v>
      </c>
      <c r="M218">
        <v>299</v>
      </c>
      <c r="N218">
        <v>4</v>
      </c>
      <c r="P218" t="str">
        <f ca="1"/>
        <v>ראשון לציון</v>
      </c>
      <c r="Q218" t="str">
        <f ca="1"/>
        <v>פנל תמיכת החלטות</v>
      </c>
      <c r="R218" t="str">
        <f ca="1"/>
        <v>משרדית</v>
      </c>
      <c r="S218">
        <f ca="1"/>
        <v>899</v>
      </c>
      <c r="T218">
        <f ca="1"/>
        <v>26</v>
      </c>
    </row>
    <row r="219" spans="1:20">
      <c r="A219" s="18" t="s">
        <v>748</v>
      </c>
      <c r="B219" s="19" t="s">
        <v>49</v>
      </c>
      <c r="C219" s="19" t="s">
        <v>68</v>
      </c>
      <c r="D219" s="19" t="s">
        <v>40</v>
      </c>
      <c r="E219" s="19">
        <v>149</v>
      </c>
      <c r="F219" s="19">
        <v>17</v>
      </c>
      <c r="G219" s="19" t="s">
        <v>52</v>
      </c>
      <c r="H219" s="20">
        <v>3580</v>
      </c>
      <c r="J219" t="str">
        <v>מכבים</v>
      </c>
      <c r="K219" t="str">
        <v>פגפ</v>
      </c>
      <c r="L219" t="str">
        <v>אבטחה</v>
      </c>
      <c r="M219">
        <v>299</v>
      </c>
      <c r="N219">
        <v>32</v>
      </c>
      <c r="P219" t="str">
        <f ca="1"/>
        <v>אילת</v>
      </c>
      <c r="Q219" t="str">
        <f ca="1"/>
        <v>פיירוול 1</v>
      </c>
      <c r="R219" t="str">
        <f ca="1"/>
        <v>אבטחה</v>
      </c>
      <c r="S219">
        <f ca="1"/>
        <v>229</v>
      </c>
      <c r="T219">
        <f ca="1"/>
        <v>23</v>
      </c>
    </row>
    <row r="220" spans="1:20">
      <c r="A220" s="18" t="s">
        <v>749</v>
      </c>
      <c r="B220" s="19" t="s">
        <v>67</v>
      </c>
      <c r="C220" s="19" t="s">
        <v>29</v>
      </c>
      <c r="D220" s="19" t="s">
        <v>30</v>
      </c>
      <c r="E220" s="19">
        <v>899</v>
      </c>
      <c r="F220" s="19">
        <v>31</v>
      </c>
      <c r="G220" s="19" t="s">
        <v>69</v>
      </c>
      <c r="H220" s="20">
        <v>3939</v>
      </c>
      <c r="J220" t="str">
        <v>מכבים</v>
      </c>
      <c r="K220" t="str">
        <v>פגפ</v>
      </c>
      <c r="L220" t="str">
        <v>אבטחה</v>
      </c>
      <c r="M220">
        <v>299</v>
      </c>
      <c r="N220">
        <v>29</v>
      </c>
      <c r="P220" t="str">
        <f ca="1"/>
        <v>קרית שמונה</v>
      </c>
      <c r="Q220" t="str">
        <f ca="1"/>
        <v>פגפ</v>
      </c>
      <c r="R220" t="str">
        <f ca="1"/>
        <v>אבטחה</v>
      </c>
      <c r="S220">
        <f ca="1"/>
        <v>299</v>
      </c>
      <c r="T220">
        <f ca="1"/>
        <v>2</v>
      </c>
    </row>
    <row r="221" spans="1:20">
      <c r="A221" s="18" t="s">
        <v>750</v>
      </c>
      <c r="B221" s="19" t="s">
        <v>38</v>
      </c>
      <c r="C221" s="19" t="s">
        <v>85</v>
      </c>
      <c r="D221" s="19" t="s">
        <v>51</v>
      </c>
      <c r="E221" s="19">
        <v>75</v>
      </c>
      <c r="F221" s="19">
        <v>23</v>
      </c>
      <c r="G221" s="19" t="s">
        <v>60</v>
      </c>
      <c r="H221" s="20">
        <v>3620</v>
      </c>
      <c r="J221" t="str">
        <v>מכבים</v>
      </c>
      <c r="K221" t="str">
        <v>פגפ</v>
      </c>
      <c r="L221" t="str">
        <v>אבטחה</v>
      </c>
      <c r="M221">
        <v>299</v>
      </c>
      <c r="N221">
        <v>7</v>
      </c>
      <c r="P221" t="str">
        <f ca="1"/>
        <v>מכבים</v>
      </c>
      <c r="Q221" t="str">
        <f ca="1"/>
        <v>וורד</v>
      </c>
      <c r="R221" t="str">
        <f ca="1"/>
        <v>משרדית</v>
      </c>
      <c r="S221">
        <f ca="1"/>
        <v>350</v>
      </c>
      <c r="T221">
        <f ca="1"/>
        <v>28</v>
      </c>
    </row>
    <row r="222" spans="1:20">
      <c r="A222" s="18" t="s">
        <v>750</v>
      </c>
      <c r="B222" s="19" t="s">
        <v>55</v>
      </c>
      <c r="C222" s="19" t="s">
        <v>57</v>
      </c>
      <c r="D222" s="19" t="s">
        <v>58</v>
      </c>
      <c r="E222" s="19">
        <v>175</v>
      </c>
      <c r="F222" s="19">
        <v>6</v>
      </c>
      <c r="G222" s="19" t="s">
        <v>59</v>
      </c>
      <c r="H222" s="20">
        <v>18652</v>
      </c>
      <c r="J222" t="str">
        <v>מכבים</v>
      </c>
      <c r="K222" t="str">
        <v>פיירוול 1</v>
      </c>
      <c r="L222" t="str">
        <v>אבטחה</v>
      </c>
      <c r="M222">
        <v>229</v>
      </c>
      <c r="N222">
        <v>25</v>
      </c>
      <c r="P222" t="str">
        <f ca="1"/>
        <v>אילת</v>
      </c>
      <c r="Q222" t="str">
        <f ca="1"/>
        <v>יודורה</v>
      </c>
      <c r="R222" t="str">
        <f ca="1"/>
        <v>משרדית</v>
      </c>
      <c r="S222">
        <f ca="1"/>
        <v>59</v>
      </c>
      <c r="T222">
        <f ca="1"/>
        <v>15</v>
      </c>
    </row>
    <row r="223" spans="1:20">
      <c r="A223" s="18" t="s">
        <v>750</v>
      </c>
      <c r="B223" s="19" t="s">
        <v>24</v>
      </c>
      <c r="C223" s="19" t="s">
        <v>44</v>
      </c>
      <c r="D223" s="19" t="s">
        <v>45</v>
      </c>
      <c r="E223" s="19">
        <v>99</v>
      </c>
      <c r="F223" s="19">
        <v>15</v>
      </c>
      <c r="G223" s="19" t="s">
        <v>46</v>
      </c>
      <c r="H223" s="20">
        <v>7688</v>
      </c>
      <c r="J223" t="str">
        <v>מכבים</v>
      </c>
      <c r="K223" t="str">
        <v>פיירוול 1</v>
      </c>
      <c r="L223" t="str">
        <v>אבטחה</v>
      </c>
      <c r="M223">
        <v>229</v>
      </c>
      <c r="N223">
        <v>6</v>
      </c>
      <c r="P223" t="str">
        <f ca="1"/>
        <v>חיפה</v>
      </c>
      <c r="Q223" t="str">
        <f ca="1"/>
        <v>פיירוול 1</v>
      </c>
      <c r="R223" t="str">
        <f ca="1"/>
        <v>אבטחה</v>
      </c>
      <c r="S223">
        <f ca="1"/>
        <v>229</v>
      </c>
      <c r="T223">
        <f ca="1"/>
        <v>6</v>
      </c>
    </row>
    <row r="224" spans="1:20">
      <c r="A224" s="18" t="s">
        <v>751</v>
      </c>
      <c r="B224" s="19" t="s">
        <v>38</v>
      </c>
      <c r="C224" s="19" t="s">
        <v>57</v>
      </c>
      <c r="D224" s="19" t="s">
        <v>58</v>
      </c>
      <c r="E224" s="19">
        <v>175</v>
      </c>
      <c r="F224" s="19">
        <v>1</v>
      </c>
      <c r="G224" s="19" t="s">
        <v>63</v>
      </c>
      <c r="H224" s="20">
        <v>13376</v>
      </c>
      <c r="J224" t="str">
        <v>מכבים</v>
      </c>
      <c r="K224" t="str">
        <v>פיירוול 1</v>
      </c>
      <c r="L224" t="str">
        <v>אבטחה</v>
      </c>
      <c r="M224">
        <v>229</v>
      </c>
      <c r="N224">
        <v>30</v>
      </c>
      <c r="P224" t="str">
        <f ca="1"/>
        <v>ראשון לציון</v>
      </c>
      <c r="Q224" t="str">
        <f ca="1"/>
        <v>בבילון</v>
      </c>
      <c r="R224" t="str">
        <f ca="1"/>
        <v>משרדית</v>
      </c>
      <c r="S224">
        <f ca="1"/>
        <v>99</v>
      </c>
      <c r="T224">
        <f ca="1"/>
        <v>28</v>
      </c>
    </row>
    <row r="225" spans="1:20">
      <c r="A225" s="18" t="s">
        <v>752</v>
      </c>
      <c r="B225" s="19" t="s">
        <v>38</v>
      </c>
      <c r="C225" s="19" t="s">
        <v>32</v>
      </c>
      <c r="D225" s="19" t="s">
        <v>33</v>
      </c>
      <c r="E225" s="19">
        <v>499</v>
      </c>
      <c r="F225" s="19">
        <v>20</v>
      </c>
      <c r="G225" s="19" t="s">
        <v>63</v>
      </c>
      <c r="H225" s="20">
        <v>9343</v>
      </c>
      <c r="J225" t="str">
        <v>מכבים</v>
      </c>
      <c r="K225" t="str">
        <v>פרו-פורט</v>
      </c>
      <c r="L225" t="str">
        <v>אבטחה</v>
      </c>
      <c r="M225">
        <v>149</v>
      </c>
      <c r="N225">
        <v>26</v>
      </c>
      <c r="P225" t="str">
        <f ca="1"/>
        <v>ראשון לציון</v>
      </c>
      <c r="Q225" t="str">
        <f ca="1"/>
        <v>פרו-פורט</v>
      </c>
      <c r="R225" t="str">
        <f ca="1"/>
        <v>אבטחה</v>
      </c>
      <c r="S225">
        <f ca="1"/>
        <v>149</v>
      </c>
      <c r="T225">
        <f ca="1"/>
        <v>7</v>
      </c>
    </row>
    <row r="226" spans="1:20">
      <c r="A226" s="18" t="s">
        <v>753</v>
      </c>
      <c r="B226" s="19" t="s">
        <v>38</v>
      </c>
      <c r="C226" s="19" t="s">
        <v>25</v>
      </c>
      <c r="D226" s="19" t="s">
        <v>26</v>
      </c>
      <c r="E226" s="19">
        <v>280</v>
      </c>
      <c r="F226" s="19">
        <v>33</v>
      </c>
      <c r="G226" s="19" t="s">
        <v>63</v>
      </c>
      <c r="H226" s="20">
        <v>10687</v>
      </c>
      <c r="J226" t="str">
        <v>מכבים</v>
      </c>
      <c r="K226" t="str">
        <v>פרו-פורט</v>
      </c>
      <c r="L226" t="str">
        <v>אבטחה</v>
      </c>
      <c r="M226">
        <v>149</v>
      </c>
      <c r="N226">
        <v>14</v>
      </c>
      <c r="P226" t="str">
        <f ca="1"/>
        <v>מכבים</v>
      </c>
      <c r="Q226" t="str">
        <f ca="1"/>
        <v>איריס</v>
      </c>
      <c r="R226" t="str">
        <f ca="1"/>
        <v>אנטיוירוס</v>
      </c>
      <c r="S226">
        <f ca="1"/>
        <v>499</v>
      </c>
      <c r="T226">
        <f ca="1"/>
        <v>20</v>
      </c>
    </row>
    <row r="227" spans="1:20">
      <c r="A227" s="18" t="s">
        <v>753</v>
      </c>
      <c r="B227" s="19" t="s">
        <v>24</v>
      </c>
      <c r="C227" s="19" t="s">
        <v>47</v>
      </c>
      <c r="D227" s="19" t="s">
        <v>30</v>
      </c>
      <c r="E227" s="19">
        <v>99</v>
      </c>
      <c r="F227" s="19">
        <v>7</v>
      </c>
      <c r="G227" s="19" t="s">
        <v>46</v>
      </c>
      <c r="H227" s="20">
        <v>8790</v>
      </c>
      <c r="J227" t="str">
        <v>מכבים</v>
      </c>
      <c r="K227" t="str">
        <v>איריס</v>
      </c>
      <c r="L227" t="str">
        <v>אנטיוירוס</v>
      </c>
      <c r="M227">
        <v>499</v>
      </c>
      <c r="N227">
        <v>20</v>
      </c>
      <c r="P227" t="str">
        <f ca="1"/>
        <v>ראשון לציון</v>
      </c>
      <c r="Q227" t="str">
        <f ca="1"/>
        <v>ברידג'</v>
      </c>
      <c r="R227" t="str">
        <f ca="1"/>
        <v>בידור</v>
      </c>
      <c r="S227">
        <f ca="1"/>
        <v>75</v>
      </c>
      <c r="T227">
        <f ca="1"/>
        <v>13</v>
      </c>
    </row>
    <row r="228" spans="1:20">
      <c r="A228" s="18" t="s">
        <v>753</v>
      </c>
      <c r="B228" s="19" t="s">
        <v>24</v>
      </c>
      <c r="C228" s="19" t="s">
        <v>48</v>
      </c>
      <c r="D228" s="19" t="s">
        <v>30</v>
      </c>
      <c r="E228" s="19">
        <v>95</v>
      </c>
      <c r="F228" s="19">
        <v>13</v>
      </c>
      <c r="G228" s="19" t="s">
        <v>46</v>
      </c>
      <c r="H228" s="20">
        <v>7301</v>
      </c>
      <c r="J228" t="str">
        <v>מכבים</v>
      </c>
      <c r="K228" t="str">
        <v>איריס</v>
      </c>
      <c r="L228" t="str">
        <v>אנטיוירוס</v>
      </c>
      <c r="M228">
        <v>499</v>
      </c>
      <c r="N228">
        <v>31</v>
      </c>
      <c r="P228" t="str">
        <f ca="1"/>
        <v>ראשון לציון</v>
      </c>
      <c r="Q228" t="str">
        <f ca="1"/>
        <v>אקרובט</v>
      </c>
      <c r="R228" t="str">
        <f ca="1"/>
        <v>משרדית</v>
      </c>
      <c r="S228">
        <f ca="1"/>
        <v>599</v>
      </c>
      <c r="T228">
        <f ca="1"/>
        <v>19</v>
      </c>
    </row>
    <row r="229" spans="1:20">
      <c r="A229" s="18">
        <v>44933</v>
      </c>
      <c r="B229" s="19" t="s">
        <v>24</v>
      </c>
      <c r="C229" s="19" t="s">
        <v>35</v>
      </c>
      <c r="D229" s="19" t="s">
        <v>30</v>
      </c>
      <c r="E229" s="19">
        <v>599</v>
      </c>
      <c r="F229" s="19">
        <v>19</v>
      </c>
      <c r="G229" s="19" t="s">
        <v>37</v>
      </c>
      <c r="H229" s="20">
        <v>12215</v>
      </c>
      <c r="J229" t="str">
        <v>מכבים</v>
      </c>
      <c r="K229" t="str">
        <v>איריס</v>
      </c>
      <c r="L229" t="str">
        <v>אנטיוירוס</v>
      </c>
      <c r="M229">
        <v>499</v>
      </c>
      <c r="N229">
        <v>27</v>
      </c>
      <c r="P229" t="str">
        <f ca="1"/>
        <v>מכבים</v>
      </c>
      <c r="Q229" t="str">
        <f ca="1"/>
        <v>פיירוול 1</v>
      </c>
      <c r="R229" t="str">
        <f ca="1"/>
        <v>אבטחה</v>
      </c>
      <c r="S229">
        <f ca="1"/>
        <v>229</v>
      </c>
      <c r="T229">
        <f ca="1"/>
        <v>30</v>
      </c>
    </row>
    <row r="230" spans="1:20">
      <c r="A230" s="18">
        <v>44933</v>
      </c>
      <c r="B230" s="19" t="s">
        <v>24</v>
      </c>
      <c r="C230" s="19" t="s">
        <v>47</v>
      </c>
      <c r="D230" s="19" t="s">
        <v>30</v>
      </c>
      <c r="E230" s="19">
        <v>99</v>
      </c>
      <c r="F230" s="19">
        <v>3</v>
      </c>
      <c r="G230" s="19" t="s">
        <v>37</v>
      </c>
      <c r="H230" s="20">
        <v>11262</v>
      </c>
      <c r="J230" t="str">
        <v>מכבים</v>
      </c>
      <c r="K230" t="str">
        <v>איריס</v>
      </c>
      <c r="L230" t="str">
        <v>אנטיוירוס</v>
      </c>
      <c r="M230">
        <v>499</v>
      </c>
      <c r="N230">
        <v>33</v>
      </c>
      <c r="P230" t="str">
        <f ca="1"/>
        <v>מכבים</v>
      </c>
      <c r="Q230" t="str">
        <f ca="1"/>
        <v>איריס</v>
      </c>
      <c r="R230" t="str">
        <f ca="1"/>
        <v>אנטיוירוס</v>
      </c>
      <c r="S230">
        <f ca="1"/>
        <v>499</v>
      </c>
      <c r="T230">
        <f ca="1"/>
        <v>33</v>
      </c>
    </row>
    <row r="231" spans="1:20">
      <c r="A231" s="18">
        <v>44964</v>
      </c>
      <c r="B231" s="19" t="s">
        <v>49</v>
      </c>
      <c r="C231" s="19" t="s">
        <v>25</v>
      </c>
      <c r="D231" s="19" t="s">
        <v>26</v>
      </c>
      <c r="E231" s="19">
        <v>280</v>
      </c>
      <c r="F231" s="19">
        <v>33</v>
      </c>
      <c r="G231" s="19" t="s">
        <v>70</v>
      </c>
      <c r="H231" s="20">
        <v>9187</v>
      </c>
      <c r="J231" t="str">
        <v>מכבים</v>
      </c>
      <c r="K231" t="str">
        <v>נורטון</v>
      </c>
      <c r="L231" t="str">
        <v>אנטיוירוס</v>
      </c>
      <c r="M231">
        <v>629</v>
      </c>
      <c r="N231">
        <v>3</v>
      </c>
      <c r="P231" t="str">
        <f ca="1"/>
        <v>תל אביב</v>
      </c>
      <c r="Q231" t="str">
        <f ca="1"/>
        <v>ווין-זיפ 8</v>
      </c>
      <c r="R231" t="str">
        <f ca="1"/>
        <v>דחיסה</v>
      </c>
      <c r="S231">
        <f ca="1"/>
        <v>199</v>
      </c>
      <c r="T231">
        <f ca="1"/>
        <v>32</v>
      </c>
    </row>
    <row r="232" spans="1:20">
      <c r="A232" s="18">
        <v>44964</v>
      </c>
      <c r="B232" s="19" t="s">
        <v>28</v>
      </c>
      <c r="C232" s="19" t="s">
        <v>73</v>
      </c>
      <c r="D232" s="19" t="s">
        <v>51</v>
      </c>
      <c r="E232" s="19">
        <v>119</v>
      </c>
      <c r="F232" s="19">
        <v>13</v>
      </c>
      <c r="G232" s="19" t="s">
        <v>31</v>
      </c>
      <c r="H232" s="20">
        <v>14539</v>
      </c>
      <c r="J232" t="str">
        <v>מכבים</v>
      </c>
      <c r="K232" t="str">
        <v>נורטון</v>
      </c>
      <c r="L232" t="str">
        <v>אנטיוירוס</v>
      </c>
      <c r="M232">
        <v>629</v>
      </c>
      <c r="N232">
        <v>9</v>
      </c>
      <c r="P232" t="str">
        <f ca="1"/>
        <v>ירושלים</v>
      </c>
      <c r="Q232" t="str">
        <f ca="1"/>
        <v>סוליטיר</v>
      </c>
      <c r="R232" t="str">
        <f ca="1"/>
        <v>בידור</v>
      </c>
      <c r="S232">
        <f ca="1"/>
        <v>119</v>
      </c>
      <c r="T232">
        <f ca="1"/>
        <v>5</v>
      </c>
    </row>
    <row r="233" spans="1:20">
      <c r="A233" s="18">
        <v>44964</v>
      </c>
      <c r="B233" s="19" t="s">
        <v>55</v>
      </c>
      <c r="C233" s="19" t="s">
        <v>61</v>
      </c>
      <c r="D233" s="19" t="s">
        <v>45</v>
      </c>
      <c r="E233" s="19">
        <v>199</v>
      </c>
      <c r="F233" s="19">
        <v>13</v>
      </c>
      <c r="G233" s="19" t="s">
        <v>56</v>
      </c>
      <c r="H233" s="20">
        <v>2024</v>
      </c>
      <c r="J233" t="str">
        <v>מכבים</v>
      </c>
      <c r="K233" t="str">
        <v>ברידג'</v>
      </c>
      <c r="L233" t="str">
        <v>בידור</v>
      </c>
      <c r="M233">
        <v>75</v>
      </c>
      <c r="N233">
        <v>23</v>
      </c>
      <c r="P233" t="str">
        <f ca="1"/>
        <v>ראשון לציון</v>
      </c>
      <c r="Q233" t="str">
        <f ca="1"/>
        <v>פיירוול 1</v>
      </c>
      <c r="R233" t="str">
        <f ca="1"/>
        <v>אבטחה</v>
      </c>
      <c r="S233">
        <f ca="1"/>
        <v>229</v>
      </c>
      <c r="T233">
        <f ca="1"/>
        <v>5</v>
      </c>
    </row>
    <row r="234" spans="1:20">
      <c r="A234" s="18">
        <v>44992</v>
      </c>
      <c r="B234" s="19" t="s">
        <v>55</v>
      </c>
      <c r="C234" s="19" t="s">
        <v>71</v>
      </c>
      <c r="D234" s="19" t="s">
        <v>30</v>
      </c>
      <c r="E234" s="19">
        <v>555</v>
      </c>
      <c r="F234" s="19">
        <v>24</v>
      </c>
      <c r="G234" s="19" t="s">
        <v>59</v>
      </c>
      <c r="H234" s="20">
        <v>17800</v>
      </c>
      <c r="J234" t="str">
        <v>מכבים</v>
      </c>
      <c r="K234" t="str">
        <v>ברידג'</v>
      </c>
      <c r="L234" t="str">
        <v>בידור</v>
      </c>
      <c r="M234">
        <v>75</v>
      </c>
      <c r="N234">
        <v>9</v>
      </c>
      <c r="P234" t="str">
        <f ca="1"/>
        <v>מכבים</v>
      </c>
      <c r="Q234" t="str">
        <f ca="1"/>
        <v>בבילון</v>
      </c>
      <c r="R234" t="str">
        <f ca="1"/>
        <v>משרדית</v>
      </c>
      <c r="S234">
        <f ca="1"/>
        <v>99</v>
      </c>
      <c r="T234">
        <f ca="1"/>
        <v>3</v>
      </c>
    </row>
    <row r="235" spans="1:20">
      <c r="A235" s="18">
        <v>45023</v>
      </c>
      <c r="B235" s="19" t="s">
        <v>55</v>
      </c>
      <c r="C235" s="19" t="s">
        <v>75</v>
      </c>
      <c r="D235" s="19" t="s">
        <v>30</v>
      </c>
      <c r="E235" s="19">
        <v>350</v>
      </c>
      <c r="F235" s="19">
        <v>17</v>
      </c>
      <c r="G235" s="19" t="s">
        <v>59</v>
      </c>
      <c r="H235" s="20">
        <v>5134</v>
      </c>
      <c r="J235" t="str">
        <v>מכבים</v>
      </c>
      <c r="K235" t="str">
        <v>ברידג'</v>
      </c>
      <c r="L235" t="str">
        <v>בידור</v>
      </c>
      <c r="M235">
        <v>75</v>
      </c>
      <c r="N235">
        <v>14</v>
      </c>
      <c r="P235" t="str">
        <f ca="1"/>
        <v>תל אביב</v>
      </c>
      <c r="Q235" t="str">
        <f ca="1"/>
        <v>פנל תמיכת החלטות</v>
      </c>
      <c r="R235" t="str">
        <f ca="1"/>
        <v>משרדית</v>
      </c>
      <c r="S235">
        <f ca="1"/>
        <v>899</v>
      </c>
      <c r="T235">
        <f ca="1"/>
        <v>6</v>
      </c>
    </row>
    <row r="236" spans="1:20">
      <c r="A236" s="18">
        <v>45084</v>
      </c>
      <c r="B236" s="19" t="s">
        <v>38</v>
      </c>
      <c r="C236" s="19" t="s">
        <v>65</v>
      </c>
      <c r="D236" s="19" t="s">
        <v>58</v>
      </c>
      <c r="E236" s="19">
        <v>399</v>
      </c>
      <c r="F236" s="19">
        <v>23</v>
      </c>
      <c r="G236" s="19" t="s">
        <v>41</v>
      </c>
      <c r="H236" s="20">
        <v>13130</v>
      </c>
      <c r="J236" t="str">
        <v>מכבים</v>
      </c>
      <c r="K236" t="str">
        <v>ברידג'</v>
      </c>
      <c r="L236" t="str">
        <v>בידור</v>
      </c>
      <c r="M236">
        <v>75</v>
      </c>
      <c r="N236">
        <v>32</v>
      </c>
      <c r="P236" t="str">
        <f ca="1"/>
        <v>קרית שמונה</v>
      </c>
      <c r="Q236" t="str">
        <f ca="1"/>
        <v>זיפ-יט</v>
      </c>
      <c r="R236" t="str">
        <f ca="1"/>
        <v>דחיסה</v>
      </c>
      <c r="S236">
        <f ca="1"/>
        <v>99</v>
      </c>
      <c r="T236">
        <f ca="1"/>
        <v>23</v>
      </c>
    </row>
    <row r="237" spans="1:20">
      <c r="A237" s="18">
        <v>45176</v>
      </c>
      <c r="B237" s="19" t="s">
        <v>67</v>
      </c>
      <c r="C237" s="19" t="s">
        <v>68</v>
      </c>
      <c r="D237" s="19" t="s">
        <v>40</v>
      </c>
      <c r="E237" s="19">
        <v>149</v>
      </c>
      <c r="F237" s="19">
        <v>1</v>
      </c>
      <c r="G237" s="19" t="s">
        <v>78</v>
      </c>
      <c r="H237" s="20">
        <v>14023</v>
      </c>
      <c r="J237" t="str">
        <v>מכבים</v>
      </c>
      <c r="K237" t="str">
        <v>ברידג'</v>
      </c>
      <c r="L237" t="str">
        <v>בידור</v>
      </c>
      <c r="M237">
        <v>75</v>
      </c>
      <c r="N237">
        <v>16</v>
      </c>
      <c r="P237" t="str">
        <f ca="1"/>
        <v>תל אביב</v>
      </c>
      <c r="Q237" t="str">
        <f ca="1"/>
        <v>סוליטיר</v>
      </c>
      <c r="R237" t="str">
        <f ca="1"/>
        <v>בידור</v>
      </c>
      <c r="S237">
        <f ca="1"/>
        <v>119</v>
      </c>
      <c r="T237">
        <f ca="1"/>
        <v>23</v>
      </c>
    </row>
    <row r="238" spans="1:20">
      <c r="A238" s="18">
        <v>45176</v>
      </c>
      <c r="B238" s="19" t="s">
        <v>55</v>
      </c>
      <c r="C238" s="19" t="s">
        <v>39</v>
      </c>
      <c r="D238" s="19" t="s">
        <v>40</v>
      </c>
      <c r="E238" s="19">
        <v>299</v>
      </c>
      <c r="F238" s="19">
        <v>32</v>
      </c>
      <c r="G238" s="19" t="s">
        <v>66</v>
      </c>
      <c r="H238" s="20">
        <v>15290</v>
      </c>
      <c r="J238" t="str">
        <v>מכבים</v>
      </c>
      <c r="K238" t="str">
        <v>נגן ריל פלייר 1</v>
      </c>
      <c r="L238" t="str">
        <v>בידור</v>
      </c>
      <c r="M238">
        <v>139</v>
      </c>
      <c r="N238">
        <v>5</v>
      </c>
      <c r="P238" t="str">
        <f ca="1"/>
        <v>ירושלים</v>
      </c>
      <c r="Q238" t="str">
        <f ca="1"/>
        <v>ווין-זיפ 8</v>
      </c>
      <c r="R238" t="str">
        <f ca="1"/>
        <v>דחיסה</v>
      </c>
      <c r="S238">
        <f ca="1"/>
        <v>199</v>
      </c>
      <c r="T238">
        <f ca="1"/>
        <v>7</v>
      </c>
    </row>
    <row r="239" spans="1:20">
      <c r="A239" s="18">
        <v>45206</v>
      </c>
      <c r="B239" s="19" t="s">
        <v>24</v>
      </c>
      <c r="C239" s="19" t="s">
        <v>39</v>
      </c>
      <c r="D239" s="19" t="s">
        <v>40</v>
      </c>
      <c r="E239" s="19">
        <v>299</v>
      </c>
      <c r="F239" s="19">
        <v>32</v>
      </c>
      <c r="G239" s="19" t="s">
        <v>46</v>
      </c>
      <c r="H239" s="20">
        <v>13017</v>
      </c>
      <c r="J239" t="str">
        <v>מכבים</v>
      </c>
      <c r="K239" t="str">
        <v>נגן ריל פלייר 1</v>
      </c>
      <c r="L239" t="str">
        <v>בידור</v>
      </c>
      <c r="M239">
        <v>139</v>
      </c>
      <c r="N239">
        <v>20</v>
      </c>
      <c r="P239" t="str">
        <f ca="1"/>
        <v>ירושלים</v>
      </c>
      <c r="Q239" t="str">
        <f ca="1"/>
        <v>ברידג'</v>
      </c>
      <c r="R239" t="str">
        <f ca="1"/>
        <v>בידור</v>
      </c>
      <c r="S239">
        <f ca="1"/>
        <v>75</v>
      </c>
      <c r="T239">
        <f ca="1"/>
        <v>32</v>
      </c>
    </row>
    <row r="240" spans="1:20">
      <c r="A240" s="18">
        <v>45206</v>
      </c>
      <c r="B240" s="19" t="s">
        <v>55</v>
      </c>
      <c r="C240" s="19" t="s">
        <v>42</v>
      </c>
      <c r="D240" s="19" t="s">
        <v>30</v>
      </c>
      <c r="E240" s="19">
        <v>59</v>
      </c>
      <c r="F240" s="19">
        <v>3</v>
      </c>
      <c r="G240" s="19" t="s">
        <v>80</v>
      </c>
      <c r="H240" s="20">
        <v>14064</v>
      </c>
      <c r="J240" t="str">
        <v>מכבים</v>
      </c>
      <c r="K240" t="str">
        <v>נגן ריל פלייר 1</v>
      </c>
      <c r="L240" t="str">
        <v>בידור</v>
      </c>
      <c r="M240">
        <v>139</v>
      </c>
      <c r="N240">
        <v>11</v>
      </c>
      <c r="P240" t="str">
        <f ca="1"/>
        <v>תל אביב</v>
      </c>
      <c r="Q240" t="str">
        <f ca="1"/>
        <v>אסטאונד</v>
      </c>
      <c r="R240" t="str">
        <f ca="1"/>
        <v>מצגות</v>
      </c>
      <c r="S240">
        <f ca="1"/>
        <v>399</v>
      </c>
      <c r="T240">
        <f ca="1"/>
        <v>5</v>
      </c>
    </row>
    <row r="241" spans="1:20">
      <c r="A241" s="18">
        <v>45237</v>
      </c>
      <c r="B241" s="19" t="s">
        <v>38</v>
      </c>
      <c r="C241" s="19" t="s">
        <v>73</v>
      </c>
      <c r="D241" s="19" t="s">
        <v>51</v>
      </c>
      <c r="E241" s="19">
        <v>119</v>
      </c>
      <c r="F241" s="19">
        <v>28</v>
      </c>
      <c r="G241" s="19" t="s">
        <v>64</v>
      </c>
      <c r="H241" s="20">
        <v>6754</v>
      </c>
      <c r="J241" t="str">
        <v>מכבים</v>
      </c>
      <c r="K241" t="str">
        <v>נגן ריל פלייר 1</v>
      </c>
      <c r="L241" t="str">
        <v>בידור</v>
      </c>
      <c r="M241">
        <v>139</v>
      </c>
      <c r="N241">
        <v>24</v>
      </c>
      <c r="P241" t="str">
        <f ca="1"/>
        <v>אילת</v>
      </c>
      <c r="Q241" t="str">
        <f ca="1"/>
        <v>בבילון</v>
      </c>
      <c r="R241" t="str">
        <f ca="1"/>
        <v>משרדית</v>
      </c>
      <c r="S241">
        <f ca="1"/>
        <v>99</v>
      </c>
      <c r="T241">
        <f ca="1"/>
        <v>25</v>
      </c>
    </row>
    <row r="242" spans="1:20">
      <c r="A242" s="18">
        <v>45237</v>
      </c>
      <c r="B242" s="19" t="s">
        <v>38</v>
      </c>
      <c r="C242" s="19" t="s">
        <v>61</v>
      </c>
      <c r="D242" s="19" t="s">
        <v>45</v>
      </c>
      <c r="E242" s="19">
        <v>199</v>
      </c>
      <c r="F242" s="19">
        <v>12</v>
      </c>
      <c r="G242" s="19" t="s">
        <v>63</v>
      </c>
      <c r="H242" s="20">
        <v>1634</v>
      </c>
      <c r="J242" t="str">
        <v>מכבים</v>
      </c>
      <c r="K242" t="str">
        <v>נגן ריל פלייר 1</v>
      </c>
      <c r="L242" t="str">
        <v>בידור</v>
      </c>
      <c r="M242">
        <v>139</v>
      </c>
      <c r="N242">
        <v>2</v>
      </c>
      <c r="P242" t="str">
        <f ca="1"/>
        <v>ירושלים</v>
      </c>
      <c r="Q242" t="str">
        <f ca="1"/>
        <v>פגפ</v>
      </c>
      <c r="R242" t="str">
        <f ca="1"/>
        <v>אבטחה</v>
      </c>
      <c r="S242">
        <f ca="1"/>
        <v>299</v>
      </c>
      <c r="T242">
        <f ca="1"/>
        <v>16</v>
      </c>
    </row>
    <row r="243" spans="1:20">
      <c r="A243" s="18">
        <v>45237</v>
      </c>
      <c r="B243" s="19" t="s">
        <v>49</v>
      </c>
      <c r="C243" s="19" t="s">
        <v>68</v>
      </c>
      <c r="D243" s="19" t="s">
        <v>40</v>
      </c>
      <c r="E243" s="19">
        <v>149</v>
      </c>
      <c r="F243" s="19">
        <v>32</v>
      </c>
      <c r="G243" s="19" t="s">
        <v>54</v>
      </c>
      <c r="H243" s="20">
        <v>3396</v>
      </c>
      <c r="J243" t="str">
        <v>מכבים</v>
      </c>
      <c r="K243" t="str">
        <v>נגן ריל פלייר 1</v>
      </c>
      <c r="L243" t="str">
        <v>בידור</v>
      </c>
      <c r="M243">
        <v>139</v>
      </c>
      <c r="N243">
        <v>33</v>
      </c>
      <c r="P243" t="str">
        <f ca="1"/>
        <v>ירושלים</v>
      </c>
      <c r="Q243" t="str">
        <f ca="1"/>
        <v>ווין-זיפ 8</v>
      </c>
      <c r="R243" t="str">
        <f ca="1"/>
        <v>דחיסה</v>
      </c>
      <c r="S243">
        <f ca="1"/>
        <v>199</v>
      </c>
      <c r="T243">
        <f ca="1"/>
        <v>20</v>
      </c>
    </row>
    <row r="244" spans="1:20">
      <c r="A244" s="18" t="s">
        <v>754</v>
      </c>
      <c r="B244" s="19" t="s">
        <v>24</v>
      </c>
      <c r="C244" s="19" t="s">
        <v>25</v>
      </c>
      <c r="D244" s="19" t="s">
        <v>26</v>
      </c>
      <c r="E244" s="19">
        <v>280</v>
      </c>
      <c r="F244" s="19">
        <v>4</v>
      </c>
      <c r="G244" s="19" t="s">
        <v>27</v>
      </c>
      <c r="H244" s="20">
        <v>3824</v>
      </c>
      <c r="J244" t="str">
        <v>מכבים</v>
      </c>
      <c r="K244" t="str">
        <v>ווין-זיפ 8</v>
      </c>
      <c r="L244" t="str">
        <v>דחיסה</v>
      </c>
      <c r="M244">
        <v>199</v>
      </c>
      <c r="N244">
        <v>29</v>
      </c>
      <c r="P244" t="str">
        <f ca="1"/>
        <v>ירושלים</v>
      </c>
      <c r="Q244" t="str">
        <f ca="1"/>
        <v>סוליטיר</v>
      </c>
      <c r="R244" t="str">
        <f ca="1"/>
        <v>בידור</v>
      </c>
      <c r="S244">
        <f ca="1"/>
        <v>119</v>
      </c>
      <c r="T244">
        <f ca="1"/>
        <v>21</v>
      </c>
    </row>
    <row r="245" spans="1:20">
      <c r="A245" s="18" t="s">
        <v>754</v>
      </c>
      <c r="B245" s="19" t="s">
        <v>49</v>
      </c>
      <c r="C245" s="19" t="s">
        <v>75</v>
      </c>
      <c r="D245" s="19" t="s">
        <v>30</v>
      </c>
      <c r="E245" s="19">
        <v>350</v>
      </c>
      <c r="F245" s="19">
        <v>22</v>
      </c>
      <c r="G245" s="19" t="s">
        <v>52</v>
      </c>
      <c r="H245" s="20">
        <v>12859</v>
      </c>
      <c r="J245" t="str">
        <v>מכבים</v>
      </c>
      <c r="K245" t="str">
        <v>ווין-זיפ 8</v>
      </c>
      <c r="L245" t="str">
        <v>דחיסה</v>
      </c>
      <c r="M245">
        <v>199</v>
      </c>
      <c r="N245">
        <v>19</v>
      </c>
      <c r="P245" t="str">
        <f ca="1"/>
        <v>חיפה</v>
      </c>
      <c r="Q245" t="str">
        <f ca="1"/>
        <v>פגפ</v>
      </c>
      <c r="R245" t="str">
        <f ca="1"/>
        <v>אבטחה</v>
      </c>
      <c r="S245">
        <f ca="1"/>
        <v>299</v>
      </c>
      <c r="T245">
        <f ca="1"/>
        <v>32</v>
      </c>
    </row>
    <row r="246" spans="1:20">
      <c r="A246" s="18" t="s">
        <v>755</v>
      </c>
      <c r="B246" s="19" t="s">
        <v>81</v>
      </c>
      <c r="C246" s="19" t="s">
        <v>39</v>
      </c>
      <c r="D246" s="19" t="s">
        <v>40</v>
      </c>
      <c r="E246" s="19">
        <v>299</v>
      </c>
      <c r="F246" s="19">
        <v>2</v>
      </c>
      <c r="G246" s="19" t="s">
        <v>82</v>
      </c>
      <c r="H246" s="20">
        <v>11974</v>
      </c>
      <c r="J246" t="str">
        <v>מכבים</v>
      </c>
      <c r="K246" t="str">
        <v>ווין-זיפ 8</v>
      </c>
      <c r="L246" t="str">
        <v>דחיסה</v>
      </c>
      <c r="M246">
        <v>199</v>
      </c>
      <c r="N246">
        <v>5</v>
      </c>
      <c r="P246" t="str">
        <f ca="1"/>
        <v>אילת</v>
      </c>
      <c r="Q246" t="str">
        <f ca="1"/>
        <v>פנל תמיכת החלטות</v>
      </c>
      <c r="R246" t="str">
        <f ca="1"/>
        <v>משרדית</v>
      </c>
      <c r="S246">
        <f ca="1"/>
        <v>899</v>
      </c>
      <c r="T246">
        <f ca="1"/>
        <v>17</v>
      </c>
    </row>
    <row r="247" spans="1:20">
      <c r="A247" s="18" t="s">
        <v>756</v>
      </c>
      <c r="B247" s="19" t="s">
        <v>49</v>
      </c>
      <c r="C247" s="19" t="s">
        <v>48</v>
      </c>
      <c r="D247" s="19" t="s">
        <v>30</v>
      </c>
      <c r="E247" s="19">
        <v>95</v>
      </c>
      <c r="F247" s="19">
        <v>11</v>
      </c>
      <c r="G247" s="19" t="s">
        <v>54</v>
      </c>
      <c r="H247" s="20">
        <v>8323</v>
      </c>
      <c r="J247" t="str">
        <v>מכבים</v>
      </c>
      <c r="K247" t="str">
        <v>ווין-זיפ 8</v>
      </c>
      <c r="L247" t="str">
        <v>דחיסה</v>
      </c>
      <c r="M247">
        <v>199</v>
      </c>
      <c r="N247">
        <v>14</v>
      </c>
      <c r="P247" t="str">
        <f ca="1"/>
        <v>ירושלים</v>
      </c>
      <c r="Q247" t="str">
        <f ca="1"/>
        <v>פנל תמיכת החלטות</v>
      </c>
      <c r="R247" t="str">
        <f ca="1"/>
        <v>משרדית</v>
      </c>
      <c r="S247">
        <f ca="1"/>
        <v>899</v>
      </c>
      <c r="T247">
        <f ca="1"/>
        <v>6</v>
      </c>
    </row>
    <row r="248" spans="1:20">
      <c r="A248" s="18" t="s">
        <v>757</v>
      </c>
      <c r="B248" s="19" t="s">
        <v>24</v>
      </c>
      <c r="C248" s="19" t="s">
        <v>62</v>
      </c>
      <c r="D248" s="19" t="s">
        <v>33</v>
      </c>
      <c r="E248" s="19">
        <v>629</v>
      </c>
      <c r="F248" s="19">
        <v>3</v>
      </c>
      <c r="G248" s="19" t="s">
        <v>37</v>
      </c>
      <c r="H248" s="20">
        <v>5672</v>
      </c>
      <c r="J248" t="str">
        <v>מכבים</v>
      </c>
      <c r="K248" t="str">
        <v>ווין-זיפ 8</v>
      </c>
      <c r="L248" t="str">
        <v>דחיסה</v>
      </c>
      <c r="M248">
        <v>199</v>
      </c>
      <c r="N248">
        <v>20</v>
      </c>
      <c r="P248" t="str">
        <f ca="1"/>
        <v>אילת</v>
      </c>
      <c r="Q248" t="str">
        <f ca="1"/>
        <v>פיירוול 1</v>
      </c>
      <c r="R248" t="str">
        <f ca="1"/>
        <v>אבטחה</v>
      </c>
      <c r="S248">
        <f ca="1"/>
        <v>229</v>
      </c>
      <c r="T248">
        <f ca="1"/>
        <v>32</v>
      </c>
    </row>
    <row r="249" spans="1:20">
      <c r="A249" s="18" t="s">
        <v>758</v>
      </c>
      <c r="B249" s="19" t="s">
        <v>49</v>
      </c>
      <c r="C249" s="19" t="s">
        <v>32</v>
      </c>
      <c r="D249" s="19" t="s">
        <v>33</v>
      </c>
      <c r="E249" s="19">
        <v>499</v>
      </c>
      <c r="F249" s="19">
        <v>3</v>
      </c>
      <c r="G249" s="19" t="s">
        <v>52</v>
      </c>
      <c r="H249" s="20">
        <v>1999</v>
      </c>
      <c r="J249" t="str">
        <v>מכבים</v>
      </c>
      <c r="K249" t="str">
        <v>זיפ-יט</v>
      </c>
      <c r="L249" t="str">
        <v>דחיסה</v>
      </c>
      <c r="M249">
        <v>99</v>
      </c>
      <c r="N249">
        <v>30</v>
      </c>
      <c r="P249" t="str">
        <f ca="1"/>
        <v>ראשון לציון</v>
      </c>
      <c r="Q249" t="str">
        <f ca="1"/>
        <v>פגפ</v>
      </c>
      <c r="R249" t="str">
        <f ca="1"/>
        <v>אבטחה</v>
      </c>
      <c r="S249">
        <f ca="1"/>
        <v>299</v>
      </c>
      <c r="T249">
        <f ca="1"/>
        <v>28</v>
      </c>
    </row>
    <row r="250" spans="1:20">
      <c r="A250" s="18" t="s">
        <v>758</v>
      </c>
      <c r="B250" s="19" t="s">
        <v>81</v>
      </c>
      <c r="C250" s="19" t="s">
        <v>39</v>
      </c>
      <c r="D250" s="19" t="s">
        <v>40</v>
      </c>
      <c r="E250" s="19">
        <v>299</v>
      </c>
      <c r="F250" s="19">
        <v>14</v>
      </c>
      <c r="G250" s="19" t="s">
        <v>83</v>
      </c>
      <c r="H250" s="20">
        <v>7951</v>
      </c>
      <c r="J250" t="str">
        <v>מכבים</v>
      </c>
      <c r="K250" t="str">
        <v>זיפ-יט</v>
      </c>
      <c r="L250" t="str">
        <v>דחיסה</v>
      </c>
      <c r="M250">
        <v>99</v>
      </c>
      <c r="N250">
        <v>2</v>
      </c>
      <c r="P250" t="str">
        <f ca="1"/>
        <v>אילת</v>
      </c>
      <c r="Q250" t="str">
        <f ca="1"/>
        <v>סוליטיר</v>
      </c>
      <c r="R250" t="str">
        <f ca="1"/>
        <v>בידור</v>
      </c>
      <c r="S250">
        <f ca="1"/>
        <v>119</v>
      </c>
      <c r="T250">
        <f ca="1"/>
        <v>27</v>
      </c>
    </row>
    <row r="251" spans="1:20">
      <c r="A251" s="18" t="s">
        <v>759</v>
      </c>
      <c r="B251" s="19" t="s">
        <v>67</v>
      </c>
      <c r="C251" s="19" t="s">
        <v>50</v>
      </c>
      <c r="D251" s="19" t="s">
        <v>51</v>
      </c>
      <c r="E251" s="19">
        <v>139</v>
      </c>
      <c r="F251" s="19">
        <v>9</v>
      </c>
      <c r="G251" s="19" t="s">
        <v>78</v>
      </c>
      <c r="H251" s="20">
        <v>5930</v>
      </c>
      <c r="J251" t="str">
        <v>מכבים</v>
      </c>
      <c r="K251" t="str">
        <v>זיפ-יט</v>
      </c>
      <c r="L251" t="str">
        <v>דחיסה</v>
      </c>
      <c r="M251">
        <v>99</v>
      </c>
      <c r="N251">
        <v>15</v>
      </c>
      <c r="P251" t="str">
        <f ca="1"/>
        <v>קרית שמונה</v>
      </c>
      <c r="Q251" t="str">
        <f ca="1"/>
        <v>ברידג'</v>
      </c>
      <c r="R251" t="str">
        <f ca="1"/>
        <v>בידור</v>
      </c>
      <c r="S251">
        <f ca="1"/>
        <v>75</v>
      </c>
      <c r="T251">
        <f ca="1"/>
        <v>2</v>
      </c>
    </row>
    <row r="252" spans="1:20">
      <c r="A252" s="18" t="s">
        <v>759</v>
      </c>
      <c r="B252" s="19" t="s">
        <v>49</v>
      </c>
      <c r="C252" s="19" t="s">
        <v>50</v>
      </c>
      <c r="D252" s="19" t="s">
        <v>51</v>
      </c>
      <c r="E252" s="19">
        <v>139</v>
      </c>
      <c r="F252" s="19">
        <v>26</v>
      </c>
      <c r="G252" s="19" t="s">
        <v>52</v>
      </c>
      <c r="H252" s="20">
        <v>15709</v>
      </c>
      <c r="J252" t="str">
        <v>מכבים</v>
      </c>
      <c r="K252" t="str">
        <v>זיפ-יט</v>
      </c>
      <c r="L252" t="str">
        <v>דחיסה</v>
      </c>
      <c r="M252">
        <v>99</v>
      </c>
      <c r="N252">
        <v>32</v>
      </c>
      <c r="P252" t="str">
        <f ca="1"/>
        <v>ראשון לציון</v>
      </c>
      <c r="Q252" t="str">
        <f ca="1"/>
        <v>קורל דרו</v>
      </c>
      <c r="R252" t="str">
        <f ca="1"/>
        <v>שרטוט</v>
      </c>
      <c r="S252">
        <f ca="1"/>
        <v>280</v>
      </c>
      <c r="T252">
        <f ca="1"/>
        <v>33</v>
      </c>
    </row>
    <row r="253" spans="1:20">
      <c r="A253" s="18" t="s">
        <v>759</v>
      </c>
      <c r="B253" s="19" t="s">
        <v>81</v>
      </c>
      <c r="C253" s="19" t="s">
        <v>62</v>
      </c>
      <c r="D253" s="19" t="s">
        <v>33</v>
      </c>
      <c r="E253" s="19">
        <v>629</v>
      </c>
      <c r="F253" s="19">
        <v>18</v>
      </c>
      <c r="G253" s="19" t="s">
        <v>83</v>
      </c>
      <c r="H253" s="20">
        <v>13524</v>
      </c>
      <c r="J253" t="str">
        <v>מכבים</v>
      </c>
      <c r="K253" t="str">
        <v>זיפ-יט</v>
      </c>
      <c r="L253" t="str">
        <v>דחיסה</v>
      </c>
      <c r="M253">
        <v>99</v>
      </c>
      <c r="N253">
        <v>6</v>
      </c>
      <c r="P253" t="str">
        <f ca="1"/>
        <v>מכבים</v>
      </c>
      <c r="Q253" t="str">
        <f ca="1"/>
        <v>קורל דרו</v>
      </c>
      <c r="R253" t="str">
        <f ca="1"/>
        <v>שרטוט</v>
      </c>
      <c r="S253">
        <f ca="1"/>
        <v>280</v>
      </c>
      <c r="T253">
        <f ca="1"/>
        <v>14</v>
      </c>
    </row>
    <row r="254" spans="1:20">
      <c r="A254" s="18" t="s">
        <v>760</v>
      </c>
      <c r="B254" s="19" t="s">
        <v>28</v>
      </c>
      <c r="C254" s="19" t="s">
        <v>44</v>
      </c>
      <c r="D254" s="19" t="s">
        <v>45</v>
      </c>
      <c r="E254" s="19">
        <v>99</v>
      </c>
      <c r="F254" s="19">
        <v>4</v>
      </c>
      <c r="G254" s="19" t="s">
        <v>43</v>
      </c>
      <c r="H254" s="20">
        <v>9977</v>
      </c>
      <c r="J254" t="str">
        <v>מכבים</v>
      </c>
      <c r="K254" t="str">
        <v>פאוור פוינט</v>
      </c>
      <c r="L254" t="str">
        <v>מצגות</v>
      </c>
      <c r="M254">
        <v>175</v>
      </c>
      <c r="N254">
        <v>23</v>
      </c>
      <c r="P254" t="str">
        <f ca="1"/>
        <v>חיפה</v>
      </c>
      <c r="Q254" t="str">
        <f ca="1"/>
        <v>אסטאונד</v>
      </c>
      <c r="R254" t="str">
        <f ca="1"/>
        <v>מצגות</v>
      </c>
      <c r="S254">
        <f ca="1"/>
        <v>399</v>
      </c>
      <c r="T254">
        <f ca="1"/>
        <v>1</v>
      </c>
    </row>
    <row r="255" spans="1:20">
      <c r="A255" s="18" t="s">
        <v>761</v>
      </c>
      <c r="B255" s="19" t="s">
        <v>24</v>
      </c>
      <c r="C255" s="19" t="s">
        <v>48</v>
      </c>
      <c r="D255" s="19" t="s">
        <v>30</v>
      </c>
      <c r="E255" s="19">
        <v>95</v>
      </c>
      <c r="F255" s="19">
        <v>11</v>
      </c>
      <c r="G255" s="19" t="s">
        <v>27</v>
      </c>
      <c r="H255" s="20">
        <v>16784</v>
      </c>
      <c r="J255" t="str">
        <v>מכבים</v>
      </c>
      <c r="K255" t="str">
        <v>פאוור פוינט</v>
      </c>
      <c r="L255" t="str">
        <v>מצגות</v>
      </c>
      <c r="M255">
        <v>175</v>
      </c>
      <c r="N255">
        <v>11</v>
      </c>
      <c r="P255" t="str">
        <f ca="1"/>
        <v>ראשון לציון</v>
      </c>
      <c r="Q255" t="str">
        <f ca="1"/>
        <v>בבילון</v>
      </c>
      <c r="R255" t="str">
        <f ca="1"/>
        <v>משרדית</v>
      </c>
      <c r="S255">
        <f ca="1"/>
        <v>99</v>
      </c>
      <c r="T255">
        <f ca="1"/>
        <v>16</v>
      </c>
    </row>
    <row r="256" spans="1:20">
      <c r="A256" s="18" t="s">
        <v>761</v>
      </c>
      <c r="B256" s="19" t="s">
        <v>55</v>
      </c>
      <c r="C256" s="19" t="s">
        <v>85</v>
      </c>
      <c r="D256" s="19" t="s">
        <v>51</v>
      </c>
      <c r="E256" s="19">
        <v>75</v>
      </c>
      <c r="F256" s="19">
        <v>5</v>
      </c>
      <c r="G256" s="19" t="s">
        <v>66</v>
      </c>
      <c r="H256" s="20">
        <v>3243</v>
      </c>
      <c r="J256" t="str">
        <v>מכבים</v>
      </c>
      <c r="K256" t="str">
        <v>פאוור פוינט</v>
      </c>
      <c r="L256" t="str">
        <v>מצגות</v>
      </c>
      <c r="M256">
        <v>175</v>
      </c>
      <c r="N256">
        <v>20</v>
      </c>
      <c r="P256" t="str">
        <f ca="1"/>
        <v>חיפה</v>
      </c>
      <c r="Q256" t="str">
        <f ca="1"/>
        <v>אקסל</v>
      </c>
      <c r="R256" t="str">
        <f ca="1"/>
        <v>משרדית</v>
      </c>
      <c r="S256">
        <f ca="1"/>
        <v>555</v>
      </c>
      <c r="T256">
        <f ca="1"/>
        <v>3</v>
      </c>
    </row>
    <row r="257" spans="1:20">
      <c r="A257" s="18" t="s">
        <v>761</v>
      </c>
      <c r="B257" s="19" t="s">
        <v>49</v>
      </c>
      <c r="C257" s="19" t="s">
        <v>73</v>
      </c>
      <c r="D257" s="19" t="s">
        <v>51</v>
      </c>
      <c r="E257" s="19">
        <v>119</v>
      </c>
      <c r="F257" s="19">
        <v>12</v>
      </c>
      <c r="G257" s="19" t="s">
        <v>52</v>
      </c>
      <c r="H257" s="20">
        <v>7181</v>
      </c>
      <c r="J257" t="str">
        <v>מכבים</v>
      </c>
      <c r="K257" t="str">
        <v>אקסל</v>
      </c>
      <c r="L257" t="str">
        <v>משרדית</v>
      </c>
      <c r="M257">
        <v>555</v>
      </c>
      <c r="N257">
        <v>11</v>
      </c>
      <c r="P257" t="str">
        <f ca="1"/>
        <v>תל אביב</v>
      </c>
      <c r="Q257" t="str">
        <f ca="1"/>
        <v>איריס</v>
      </c>
      <c r="R257" t="str">
        <f ca="1"/>
        <v>אנטיוירוס</v>
      </c>
      <c r="S257">
        <f ca="1"/>
        <v>499</v>
      </c>
      <c r="T257">
        <f ca="1"/>
        <v>32</v>
      </c>
    </row>
    <row r="258" spans="1:20">
      <c r="A258" s="18" t="s">
        <v>762</v>
      </c>
      <c r="B258" s="19" t="s">
        <v>38</v>
      </c>
      <c r="C258" s="19" t="s">
        <v>25</v>
      </c>
      <c r="D258" s="19" t="s">
        <v>26</v>
      </c>
      <c r="E258" s="19">
        <v>280</v>
      </c>
      <c r="F258" s="19">
        <v>33</v>
      </c>
      <c r="G258" s="19" t="s">
        <v>63</v>
      </c>
      <c r="H258" s="20">
        <v>6005</v>
      </c>
      <c r="J258" t="str">
        <v>מכבים</v>
      </c>
      <c r="K258" t="str">
        <v>אקסל</v>
      </c>
      <c r="L258" t="str">
        <v>משרדית</v>
      </c>
      <c r="M258">
        <v>555</v>
      </c>
      <c r="N258">
        <v>29</v>
      </c>
      <c r="P258" t="str">
        <f ca="1"/>
        <v>ירושלים</v>
      </c>
      <c r="Q258" t="str">
        <f ca="1"/>
        <v>קורל דרו</v>
      </c>
      <c r="R258" t="str">
        <f ca="1"/>
        <v>שרטוט</v>
      </c>
      <c r="S258">
        <f ca="1"/>
        <v>280</v>
      </c>
      <c r="T258">
        <f ca="1"/>
        <v>32</v>
      </c>
    </row>
    <row r="259" spans="1:20">
      <c r="A259" s="18" t="s">
        <v>763</v>
      </c>
      <c r="B259" s="19" t="s">
        <v>24</v>
      </c>
      <c r="C259" s="19" t="s">
        <v>35</v>
      </c>
      <c r="D259" s="19" t="s">
        <v>30</v>
      </c>
      <c r="E259" s="19">
        <v>599</v>
      </c>
      <c r="F259" s="19">
        <v>9</v>
      </c>
      <c r="G259" s="19" t="s">
        <v>37</v>
      </c>
      <c r="H259" s="20">
        <v>19338</v>
      </c>
      <c r="J259" t="str">
        <v>מכבים</v>
      </c>
      <c r="K259" t="str">
        <v>אקסל</v>
      </c>
      <c r="L259" t="str">
        <v>משרדית</v>
      </c>
      <c r="M259">
        <v>555</v>
      </c>
      <c r="N259">
        <v>25</v>
      </c>
      <c r="P259" t="str">
        <f ca="1"/>
        <v>תל אביב</v>
      </c>
      <c r="Q259" t="str">
        <f ca="1"/>
        <v>סוליטיר</v>
      </c>
      <c r="R259" t="str">
        <f ca="1"/>
        <v>בידור</v>
      </c>
      <c r="S259">
        <f ca="1"/>
        <v>119</v>
      </c>
      <c r="T259">
        <f ca="1"/>
        <v>30</v>
      </c>
    </row>
    <row r="260" spans="1:20">
      <c r="A260" s="18" t="s">
        <v>763</v>
      </c>
      <c r="B260" s="19" t="s">
        <v>28</v>
      </c>
      <c r="C260" s="19" t="s">
        <v>68</v>
      </c>
      <c r="D260" s="19" t="s">
        <v>40</v>
      </c>
      <c r="E260" s="19">
        <v>149</v>
      </c>
      <c r="F260" s="19">
        <v>8</v>
      </c>
      <c r="G260" s="21" t="s">
        <v>36</v>
      </c>
      <c r="H260" s="20">
        <v>6755</v>
      </c>
      <c r="J260" t="str">
        <v>מכבים</v>
      </c>
      <c r="K260" t="str">
        <v>אקסל</v>
      </c>
      <c r="L260" t="str">
        <v>משרדית</v>
      </c>
      <c r="M260">
        <v>555</v>
      </c>
      <c r="N260">
        <v>15</v>
      </c>
      <c r="P260" t="str">
        <f ca="1"/>
        <v>חיפה</v>
      </c>
      <c r="Q260" t="str">
        <f ca="1"/>
        <v>פרו-פורט</v>
      </c>
      <c r="R260" t="str">
        <f ca="1"/>
        <v>אבטחה</v>
      </c>
      <c r="S260">
        <f ca="1"/>
        <v>149</v>
      </c>
      <c r="T260">
        <f ca="1"/>
        <v>27</v>
      </c>
    </row>
    <row r="261" spans="1:20">
      <c r="A261" s="18" t="s">
        <v>763</v>
      </c>
      <c r="B261" s="19" t="s">
        <v>24</v>
      </c>
      <c r="C261" s="19" t="s">
        <v>68</v>
      </c>
      <c r="D261" s="19" t="s">
        <v>40</v>
      </c>
      <c r="E261" s="19">
        <v>149</v>
      </c>
      <c r="F261" s="19">
        <v>14</v>
      </c>
      <c r="G261" s="19" t="s">
        <v>27</v>
      </c>
      <c r="H261" s="20">
        <v>16897</v>
      </c>
      <c r="J261" t="str">
        <v>מכבים</v>
      </c>
      <c r="K261" t="str">
        <v>אקסל</v>
      </c>
      <c r="L261" t="str">
        <v>משרדית</v>
      </c>
      <c r="M261">
        <v>555</v>
      </c>
      <c r="N261">
        <v>4</v>
      </c>
      <c r="P261" t="str">
        <f ca="1"/>
        <v>ראשון לציון</v>
      </c>
      <c r="Q261" t="str">
        <f ca="1"/>
        <v>בבילון</v>
      </c>
      <c r="R261" t="str">
        <f ca="1"/>
        <v>משרדית</v>
      </c>
      <c r="S261">
        <f ca="1"/>
        <v>99</v>
      </c>
      <c r="T261">
        <f ca="1"/>
        <v>26</v>
      </c>
    </row>
    <row r="262" spans="1:20">
      <c r="A262" s="18" t="s">
        <v>764</v>
      </c>
      <c r="B262" s="19" t="s">
        <v>38</v>
      </c>
      <c r="C262" s="19" t="s">
        <v>47</v>
      </c>
      <c r="D262" s="19" t="s">
        <v>30</v>
      </c>
      <c r="E262" s="19">
        <v>99</v>
      </c>
      <c r="F262" s="19">
        <v>28</v>
      </c>
      <c r="G262" s="19" t="s">
        <v>41</v>
      </c>
      <c r="H262" s="20">
        <v>13132</v>
      </c>
      <c r="J262" t="str">
        <v>מכבים</v>
      </c>
      <c r="K262" t="str">
        <v>אקסל</v>
      </c>
      <c r="L262" t="str">
        <v>משרדית</v>
      </c>
      <c r="M262">
        <v>555</v>
      </c>
      <c r="N262">
        <v>17</v>
      </c>
      <c r="P262" t="str">
        <f ca="1"/>
        <v>ראשון לציון</v>
      </c>
      <c r="Q262" t="str">
        <f ca="1"/>
        <v>פגפ</v>
      </c>
      <c r="R262" t="str">
        <f ca="1"/>
        <v>אבטחה</v>
      </c>
      <c r="S262">
        <f ca="1"/>
        <v>299</v>
      </c>
      <c r="T262">
        <f ca="1"/>
        <v>15</v>
      </c>
    </row>
    <row r="263" spans="1:20">
      <c r="A263" s="18" t="s">
        <v>764</v>
      </c>
      <c r="B263" s="19" t="s">
        <v>55</v>
      </c>
      <c r="C263" s="19" t="s">
        <v>39</v>
      </c>
      <c r="D263" s="19" t="s">
        <v>40</v>
      </c>
      <c r="E263" s="19">
        <v>299</v>
      </c>
      <c r="F263" s="19">
        <v>18</v>
      </c>
      <c r="G263" s="19" t="s">
        <v>80</v>
      </c>
      <c r="H263" s="20">
        <v>13842</v>
      </c>
      <c r="J263" t="str">
        <v>מכבים</v>
      </c>
      <c r="K263" t="str">
        <v>אקסס</v>
      </c>
      <c r="L263" t="str">
        <v>משרדית</v>
      </c>
      <c r="M263">
        <v>95</v>
      </c>
      <c r="N263">
        <v>13</v>
      </c>
      <c r="P263" t="str">
        <f ca="1"/>
        <v>תל אביב</v>
      </c>
      <c r="Q263" t="str">
        <f ca="1"/>
        <v>זיפ-יט</v>
      </c>
      <c r="R263" t="str">
        <f ca="1"/>
        <v>דחיסה</v>
      </c>
      <c r="S263">
        <f ca="1"/>
        <v>99</v>
      </c>
      <c r="T263">
        <f ca="1"/>
        <v>4</v>
      </c>
    </row>
    <row r="264" spans="1:20">
      <c r="A264" s="18" t="s">
        <v>764</v>
      </c>
      <c r="B264" s="19" t="s">
        <v>24</v>
      </c>
      <c r="C264" s="19" t="s">
        <v>71</v>
      </c>
      <c r="D264" s="19" t="s">
        <v>30</v>
      </c>
      <c r="E264" s="19">
        <v>555</v>
      </c>
      <c r="F264" s="19">
        <v>25</v>
      </c>
      <c r="G264" s="19" t="s">
        <v>37</v>
      </c>
      <c r="H264" s="20">
        <v>8594</v>
      </c>
      <c r="J264" t="str">
        <v>מכבים</v>
      </c>
      <c r="K264" t="str">
        <v>אקסס</v>
      </c>
      <c r="L264" t="str">
        <v>משרדית</v>
      </c>
      <c r="M264">
        <v>95</v>
      </c>
      <c r="N264">
        <v>11</v>
      </c>
      <c r="P264" t="str">
        <f ca="1"/>
        <v>ראשון לציון</v>
      </c>
      <c r="Q264" t="str">
        <f ca="1"/>
        <v>פאוור פוינט</v>
      </c>
      <c r="R264" t="str">
        <f ca="1"/>
        <v>מצגות</v>
      </c>
      <c r="S264">
        <f ca="1"/>
        <v>175</v>
      </c>
      <c r="T264">
        <f ca="1"/>
        <v>18</v>
      </c>
    </row>
    <row r="265" spans="1:20">
      <c r="A265" s="18" t="s">
        <v>765</v>
      </c>
      <c r="B265" s="19" t="s">
        <v>67</v>
      </c>
      <c r="C265" s="19" t="s">
        <v>62</v>
      </c>
      <c r="D265" s="19" t="s">
        <v>33</v>
      </c>
      <c r="E265" s="19">
        <v>629</v>
      </c>
      <c r="F265" s="19">
        <v>22</v>
      </c>
      <c r="G265" s="19" t="s">
        <v>69</v>
      </c>
      <c r="H265" s="20">
        <v>17652</v>
      </c>
      <c r="J265" t="str">
        <v>מכבים</v>
      </c>
      <c r="K265" t="str">
        <v>אקסס</v>
      </c>
      <c r="L265" t="str">
        <v>משרדית</v>
      </c>
      <c r="M265">
        <v>95</v>
      </c>
      <c r="N265">
        <v>26</v>
      </c>
      <c r="P265" t="str">
        <f ca="1"/>
        <v>תל אביב</v>
      </c>
      <c r="Q265" t="str">
        <f ca="1"/>
        <v>איריס</v>
      </c>
      <c r="R265" t="str">
        <f ca="1"/>
        <v>אנטיוירוס</v>
      </c>
      <c r="S265">
        <f ca="1"/>
        <v>499</v>
      </c>
      <c r="T265">
        <f ca="1"/>
        <v>6</v>
      </c>
    </row>
    <row r="266" spans="1:20">
      <c r="A266" s="18" t="s">
        <v>766</v>
      </c>
      <c r="B266" s="19" t="s">
        <v>49</v>
      </c>
      <c r="C266" s="19" t="s">
        <v>71</v>
      </c>
      <c r="D266" s="19" t="s">
        <v>30</v>
      </c>
      <c r="E266" s="19">
        <v>555</v>
      </c>
      <c r="F266" s="19">
        <v>6</v>
      </c>
      <c r="G266" s="19" t="s">
        <v>52</v>
      </c>
      <c r="H266" s="20">
        <v>14740</v>
      </c>
      <c r="J266" t="str">
        <v>מכבים</v>
      </c>
      <c r="K266" t="str">
        <v>אקסס</v>
      </c>
      <c r="L266" t="str">
        <v>משרדית</v>
      </c>
      <c r="M266">
        <v>95</v>
      </c>
      <c r="N266">
        <v>6</v>
      </c>
      <c r="P266" t="str">
        <f ca="1"/>
        <v>חיפה</v>
      </c>
      <c r="Q266" t="str">
        <f ca="1"/>
        <v>בבילון</v>
      </c>
      <c r="R266" t="str">
        <f ca="1"/>
        <v>משרדית</v>
      </c>
      <c r="S266">
        <f ca="1"/>
        <v>99</v>
      </c>
      <c r="T266">
        <f ca="1"/>
        <v>31</v>
      </c>
    </row>
    <row r="267" spans="1:20">
      <c r="A267" s="18" t="s">
        <v>767</v>
      </c>
      <c r="B267" s="19" t="s">
        <v>67</v>
      </c>
      <c r="C267" s="19" t="s">
        <v>25</v>
      </c>
      <c r="D267" s="19" t="s">
        <v>26</v>
      </c>
      <c r="E267" s="19">
        <v>280</v>
      </c>
      <c r="F267" s="19">
        <v>18</v>
      </c>
      <c r="G267" s="19" t="s">
        <v>72</v>
      </c>
      <c r="H267" s="20">
        <v>5670</v>
      </c>
      <c r="J267" t="str">
        <v>מכבים</v>
      </c>
      <c r="K267" t="str">
        <v>אקרובט</v>
      </c>
      <c r="L267" t="str">
        <v>משרדית</v>
      </c>
      <c r="M267">
        <v>599</v>
      </c>
      <c r="N267">
        <v>31</v>
      </c>
      <c r="P267" t="str">
        <f ca="1"/>
        <v>ראשון לציון</v>
      </c>
      <c r="Q267" t="str">
        <f ca="1"/>
        <v>יודורה</v>
      </c>
      <c r="R267" t="str">
        <f ca="1"/>
        <v>משרדית</v>
      </c>
      <c r="S267">
        <f ca="1"/>
        <v>59</v>
      </c>
      <c r="T267">
        <f ca="1"/>
        <v>31</v>
      </c>
    </row>
    <row r="268" spans="1:20">
      <c r="A268" s="18" t="s">
        <v>767</v>
      </c>
      <c r="B268" s="19" t="s">
        <v>55</v>
      </c>
      <c r="C268" s="19" t="s">
        <v>29</v>
      </c>
      <c r="D268" s="19" t="s">
        <v>30</v>
      </c>
      <c r="E268" s="19">
        <v>899</v>
      </c>
      <c r="F268" s="19">
        <v>33</v>
      </c>
      <c r="G268" s="19" t="s">
        <v>66</v>
      </c>
      <c r="H268" s="20">
        <v>5095</v>
      </c>
      <c r="J268" t="str">
        <v>מכבים</v>
      </c>
      <c r="K268" t="str">
        <v>אקרובט</v>
      </c>
      <c r="L268" t="str">
        <v>משרדית</v>
      </c>
      <c r="M268">
        <v>599</v>
      </c>
      <c r="N268">
        <v>19</v>
      </c>
      <c r="P268" t="str">
        <f ca="1"/>
        <v>אילת</v>
      </c>
      <c r="Q268" t="str">
        <f ca="1"/>
        <v>קורל דרו</v>
      </c>
      <c r="R268" t="str">
        <f ca="1"/>
        <v>שרטוט</v>
      </c>
      <c r="S268">
        <f ca="1"/>
        <v>280</v>
      </c>
      <c r="T268">
        <f ca="1"/>
        <v>13</v>
      </c>
    </row>
    <row r="269" spans="1:20">
      <c r="A269" s="18" t="s">
        <v>768</v>
      </c>
      <c r="B269" s="19" t="s">
        <v>28</v>
      </c>
      <c r="C269" s="19" t="s">
        <v>65</v>
      </c>
      <c r="D269" s="19" t="s">
        <v>58</v>
      </c>
      <c r="E269" s="19">
        <v>399</v>
      </c>
      <c r="F269" s="19">
        <v>26</v>
      </c>
      <c r="G269" s="19" t="s">
        <v>31</v>
      </c>
      <c r="H269" s="20">
        <v>3813</v>
      </c>
      <c r="J269" t="str">
        <v>מכבים</v>
      </c>
      <c r="K269" t="str">
        <v>אקרובט</v>
      </c>
      <c r="L269" t="str">
        <v>משרדית</v>
      </c>
      <c r="M269">
        <v>599</v>
      </c>
      <c r="N269">
        <v>9</v>
      </c>
      <c r="P269" t="str">
        <f ca="1"/>
        <v>קרית שמונה</v>
      </c>
      <c r="Q269" t="str">
        <f ca="1"/>
        <v>זיפ-יט</v>
      </c>
      <c r="R269" t="str">
        <f ca="1"/>
        <v>דחיסה</v>
      </c>
      <c r="S269">
        <f ca="1"/>
        <v>99</v>
      </c>
      <c r="T269">
        <f ca="1"/>
        <v>32</v>
      </c>
    </row>
    <row r="270" spans="1:20">
      <c r="A270" s="18" t="s">
        <v>768</v>
      </c>
      <c r="B270" s="19" t="s">
        <v>67</v>
      </c>
      <c r="C270" s="19" t="s">
        <v>57</v>
      </c>
      <c r="D270" s="19" t="s">
        <v>58</v>
      </c>
      <c r="E270" s="19">
        <v>175</v>
      </c>
      <c r="F270" s="19">
        <v>28</v>
      </c>
      <c r="G270" s="19" t="s">
        <v>78</v>
      </c>
      <c r="H270" s="20">
        <v>7532</v>
      </c>
      <c r="J270" t="str">
        <v>מכבים</v>
      </c>
      <c r="K270" t="str">
        <v>אקרובט</v>
      </c>
      <c r="L270" t="str">
        <v>משרדית</v>
      </c>
      <c r="M270">
        <v>599</v>
      </c>
      <c r="N270">
        <v>12</v>
      </c>
      <c r="P270" t="str">
        <f ca="1"/>
        <v>מכבים</v>
      </c>
      <c r="Q270" t="str">
        <f ca="1"/>
        <v>בבילון</v>
      </c>
      <c r="R270" t="str">
        <f ca="1"/>
        <v>משרדית</v>
      </c>
      <c r="S270">
        <f ca="1"/>
        <v>99</v>
      </c>
      <c r="T270">
        <f ca="1"/>
        <v>22</v>
      </c>
    </row>
    <row r="271" spans="1:20">
      <c r="A271" s="18">
        <v>44934</v>
      </c>
      <c r="B271" s="19" t="s">
        <v>28</v>
      </c>
      <c r="C271" s="19" t="s">
        <v>42</v>
      </c>
      <c r="D271" s="19" t="s">
        <v>30</v>
      </c>
      <c r="E271" s="19">
        <v>59</v>
      </c>
      <c r="F271" s="19">
        <v>30</v>
      </c>
      <c r="G271" s="19" t="s">
        <v>31</v>
      </c>
      <c r="H271" s="20">
        <v>9021</v>
      </c>
      <c r="J271" t="str">
        <v>מכבים</v>
      </c>
      <c r="K271" t="str">
        <v>בבילון</v>
      </c>
      <c r="L271" t="str">
        <v>משרדית</v>
      </c>
      <c r="M271">
        <v>99</v>
      </c>
      <c r="N271">
        <v>22</v>
      </c>
      <c r="P271" t="str">
        <f ca="1"/>
        <v>קרית שמונה</v>
      </c>
      <c r="Q271" t="str">
        <f ca="1"/>
        <v>אקסס</v>
      </c>
      <c r="R271" t="str">
        <f ca="1"/>
        <v>משרדית</v>
      </c>
      <c r="S271">
        <f ca="1"/>
        <v>95</v>
      </c>
      <c r="T271">
        <f ca="1"/>
        <v>13</v>
      </c>
    </row>
    <row r="272" spans="1:20">
      <c r="A272" s="18">
        <v>44934</v>
      </c>
      <c r="B272" s="19" t="s">
        <v>55</v>
      </c>
      <c r="C272" s="19" t="s">
        <v>29</v>
      </c>
      <c r="D272" s="19" t="s">
        <v>30</v>
      </c>
      <c r="E272" s="19">
        <v>899</v>
      </c>
      <c r="F272" s="19">
        <v>16</v>
      </c>
      <c r="G272" s="19" t="s">
        <v>80</v>
      </c>
      <c r="H272" s="20">
        <v>18977</v>
      </c>
      <c r="J272" t="str">
        <v>מכבים</v>
      </c>
      <c r="K272" t="str">
        <v>בבילון</v>
      </c>
      <c r="L272" t="str">
        <v>משרדית</v>
      </c>
      <c r="M272">
        <v>99</v>
      </c>
      <c r="N272">
        <v>13</v>
      </c>
      <c r="P272" t="str">
        <f ca="1"/>
        <v>תל אביב</v>
      </c>
      <c r="Q272" t="str">
        <f ca="1"/>
        <v>אסטאונד</v>
      </c>
      <c r="R272" t="str">
        <f ca="1"/>
        <v>מצגות</v>
      </c>
      <c r="S272">
        <f ca="1"/>
        <v>399</v>
      </c>
      <c r="T272">
        <f ca="1"/>
        <v>20</v>
      </c>
    </row>
    <row r="273" spans="1:20">
      <c r="A273" s="18">
        <v>44965</v>
      </c>
      <c r="B273" s="19" t="s">
        <v>55</v>
      </c>
      <c r="C273" s="19" t="s">
        <v>65</v>
      </c>
      <c r="D273" s="19" t="s">
        <v>58</v>
      </c>
      <c r="E273" s="19">
        <v>399</v>
      </c>
      <c r="F273" s="19">
        <v>26</v>
      </c>
      <c r="G273" s="19" t="s">
        <v>66</v>
      </c>
      <c r="H273" s="20">
        <v>19004</v>
      </c>
      <c r="J273" t="str">
        <v>מכבים</v>
      </c>
      <c r="K273" t="str">
        <v>בבילון</v>
      </c>
      <c r="L273" t="str">
        <v>משרדית</v>
      </c>
      <c r="M273">
        <v>99</v>
      </c>
      <c r="N273">
        <v>2</v>
      </c>
      <c r="P273" t="str">
        <f ca="1"/>
        <v>חיפה</v>
      </c>
      <c r="Q273" t="str">
        <f ca="1"/>
        <v>קורל דרו</v>
      </c>
      <c r="R273" t="str">
        <f ca="1"/>
        <v>שרטוט</v>
      </c>
      <c r="S273">
        <f ca="1"/>
        <v>280</v>
      </c>
      <c r="T273">
        <f ca="1"/>
        <v>22</v>
      </c>
    </row>
    <row r="274" spans="1:20">
      <c r="A274" s="18">
        <v>44993</v>
      </c>
      <c r="B274" s="19" t="s">
        <v>24</v>
      </c>
      <c r="C274" s="19" t="s">
        <v>35</v>
      </c>
      <c r="D274" s="19" t="s">
        <v>30</v>
      </c>
      <c r="E274" s="19">
        <v>599</v>
      </c>
      <c r="F274" s="19">
        <v>12</v>
      </c>
      <c r="G274" s="19" t="s">
        <v>76</v>
      </c>
      <c r="H274" s="20">
        <v>16529</v>
      </c>
      <c r="J274" t="str">
        <v>מכבים</v>
      </c>
      <c r="K274" t="str">
        <v>בבילון</v>
      </c>
      <c r="L274" t="str">
        <v>משרדית</v>
      </c>
      <c r="M274">
        <v>99</v>
      </c>
      <c r="N274">
        <v>7</v>
      </c>
      <c r="P274" t="str">
        <f ca="1"/>
        <v>ראשון לציון</v>
      </c>
      <c r="Q274" t="str">
        <f ca="1"/>
        <v>פגפ</v>
      </c>
      <c r="R274" t="str">
        <f ca="1"/>
        <v>אבטחה</v>
      </c>
      <c r="S274">
        <f ca="1"/>
        <v>299</v>
      </c>
      <c r="T274">
        <f ca="1"/>
        <v>1</v>
      </c>
    </row>
    <row r="275" spans="1:20">
      <c r="A275" s="18">
        <v>44993</v>
      </c>
      <c r="B275" s="19" t="s">
        <v>28</v>
      </c>
      <c r="C275" s="19" t="s">
        <v>32</v>
      </c>
      <c r="D275" s="19" t="s">
        <v>33</v>
      </c>
      <c r="E275" s="19">
        <v>499</v>
      </c>
      <c r="F275" s="19">
        <v>32</v>
      </c>
      <c r="G275" s="19" t="s">
        <v>43</v>
      </c>
      <c r="H275" s="20">
        <v>14343</v>
      </c>
      <c r="J275" t="str">
        <v>מכבים</v>
      </c>
      <c r="K275" t="str">
        <v>בבילון</v>
      </c>
      <c r="L275" t="str">
        <v>משרדית</v>
      </c>
      <c r="M275">
        <v>99</v>
      </c>
      <c r="N275">
        <v>3</v>
      </c>
      <c r="P275" t="str">
        <f ca="1"/>
        <v>אילת</v>
      </c>
      <c r="Q275" t="str">
        <f ca="1"/>
        <v>פגפ</v>
      </c>
      <c r="R275" t="str">
        <f ca="1"/>
        <v>אבטחה</v>
      </c>
      <c r="S275">
        <f ca="1"/>
        <v>299</v>
      </c>
      <c r="T275">
        <f ca="1"/>
        <v>18</v>
      </c>
    </row>
    <row r="276" spans="1:20">
      <c r="A276" s="18">
        <v>44993</v>
      </c>
      <c r="B276" s="19" t="s">
        <v>28</v>
      </c>
      <c r="C276" s="19" t="s">
        <v>35</v>
      </c>
      <c r="D276" s="19" t="s">
        <v>30</v>
      </c>
      <c r="E276" s="19">
        <v>599</v>
      </c>
      <c r="F276" s="19">
        <v>19</v>
      </c>
      <c r="G276" s="21" t="s">
        <v>36</v>
      </c>
      <c r="H276" s="20">
        <v>6483</v>
      </c>
      <c r="J276" t="str">
        <v>מכבים</v>
      </c>
      <c r="K276" t="str">
        <v>בבילון</v>
      </c>
      <c r="L276" t="str">
        <v>משרדית</v>
      </c>
      <c r="M276">
        <v>99</v>
      </c>
      <c r="N276">
        <v>13</v>
      </c>
      <c r="P276" t="str">
        <f ca="1"/>
        <v>חיפה</v>
      </c>
      <c r="Q276" t="str">
        <f ca="1"/>
        <v>נגן ריל פלייר 1</v>
      </c>
      <c r="R276" t="str">
        <f ca="1"/>
        <v>בידור</v>
      </c>
      <c r="S276">
        <f ca="1"/>
        <v>139</v>
      </c>
      <c r="T276">
        <f ca="1"/>
        <v>11</v>
      </c>
    </row>
    <row r="277" spans="1:20">
      <c r="A277" s="18">
        <v>45024</v>
      </c>
      <c r="B277" s="19" t="s">
        <v>38</v>
      </c>
      <c r="C277" s="19" t="s">
        <v>32</v>
      </c>
      <c r="D277" s="19" t="s">
        <v>33</v>
      </c>
      <c r="E277" s="19">
        <v>499</v>
      </c>
      <c r="F277" s="19">
        <v>19</v>
      </c>
      <c r="G277" s="19" t="s">
        <v>60</v>
      </c>
      <c r="H277" s="20">
        <v>12964</v>
      </c>
      <c r="J277" t="str">
        <v>מכבים</v>
      </c>
      <c r="K277" t="str">
        <v>בבילון</v>
      </c>
      <c r="L277" t="str">
        <v>משרדית</v>
      </c>
      <c r="M277">
        <v>99</v>
      </c>
      <c r="N277">
        <v>23</v>
      </c>
      <c r="P277" t="str">
        <f ca="1"/>
        <v>ראשון לציון</v>
      </c>
      <c r="Q277" t="str">
        <f ca="1"/>
        <v>פיירוול 1</v>
      </c>
      <c r="R277" t="str">
        <f ca="1"/>
        <v>אבטחה</v>
      </c>
      <c r="S277">
        <f ca="1"/>
        <v>229</v>
      </c>
      <c r="T277">
        <f ca="1"/>
        <v>1</v>
      </c>
    </row>
    <row r="278" spans="1:20">
      <c r="A278" s="18">
        <v>45054</v>
      </c>
      <c r="B278" s="19" t="s">
        <v>55</v>
      </c>
      <c r="C278" s="19" t="s">
        <v>25</v>
      </c>
      <c r="D278" s="19" t="s">
        <v>26</v>
      </c>
      <c r="E278" s="19">
        <v>280</v>
      </c>
      <c r="F278" s="19">
        <v>9</v>
      </c>
      <c r="G278" s="19" t="s">
        <v>56</v>
      </c>
      <c r="H278" s="20">
        <v>3604</v>
      </c>
      <c r="J278" t="str">
        <v>מכבים</v>
      </c>
      <c r="K278" t="str">
        <v>בבילון</v>
      </c>
      <c r="L278" t="str">
        <v>משרדית</v>
      </c>
      <c r="M278">
        <v>99</v>
      </c>
      <c r="N278">
        <v>2</v>
      </c>
      <c r="P278" t="str">
        <f ca="1"/>
        <v>מכבים</v>
      </c>
      <c r="Q278" t="str">
        <f ca="1"/>
        <v>פגפ</v>
      </c>
      <c r="R278" t="str">
        <f ca="1"/>
        <v>אבטחה</v>
      </c>
      <c r="S278">
        <f ca="1"/>
        <v>299</v>
      </c>
      <c r="T278">
        <f ca="1"/>
        <v>7</v>
      </c>
    </row>
    <row r="279" spans="1:20">
      <c r="A279" s="18">
        <v>45054</v>
      </c>
      <c r="B279" s="19" t="s">
        <v>38</v>
      </c>
      <c r="C279" s="19" t="s">
        <v>50</v>
      </c>
      <c r="D279" s="19" t="s">
        <v>51</v>
      </c>
      <c r="E279" s="19">
        <v>139</v>
      </c>
      <c r="F279" s="19">
        <v>7</v>
      </c>
      <c r="G279" s="19" t="s">
        <v>41</v>
      </c>
      <c r="H279" s="20">
        <v>16204</v>
      </c>
      <c r="J279" t="str">
        <v>מכבים</v>
      </c>
      <c r="K279" t="str">
        <v>בבילון</v>
      </c>
      <c r="L279" t="str">
        <v>משרדית</v>
      </c>
      <c r="M279">
        <v>99</v>
      </c>
      <c r="N279">
        <v>24</v>
      </c>
      <c r="P279" t="str">
        <f ca="1"/>
        <v>ראשון לציון</v>
      </c>
      <c r="Q279" t="str">
        <f ca="1"/>
        <v>איריס</v>
      </c>
      <c r="R279" t="str">
        <f ca="1"/>
        <v>אנטיוירוס</v>
      </c>
      <c r="S279">
        <f ca="1"/>
        <v>499</v>
      </c>
      <c r="T279">
        <f ca="1"/>
        <v>20</v>
      </c>
    </row>
    <row r="280" spans="1:20">
      <c r="A280" s="18">
        <v>45054</v>
      </c>
      <c r="B280" s="19" t="s">
        <v>49</v>
      </c>
      <c r="C280" s="19" t="s">
        <v>68</v>
      </c>
      <c r="D280" s="19" t="s">
        <v>40</v>
      </c>
      <c r="E280" s="19">
        <v>149</v>
      </c>
      <c r="F280" s="19">
        <v>27</v>
      </c>
      <c r="G280" s="19" t="s">
        <v>52</v>
      </c>
      <c r="H280" s="20">
        <v>10286</v>
      </c>
      <c r="J280" t="str">
        <v>מכבים</v>
      </c>
      <c r="K280" t="str">
        <v>וורד</v>
      </c>
      <c r="L280" t="str">
        <v>משרדית</v>
      </c>
      <c r="M280">
        <v>350</v>
      </c>
      <c r="N280">
        <v>7</v>
      </c>
      <c r="P280" t="str">
        <f ca="1"/>
        <v>ראשון לציון</v>
      </c>
      <c r="Q280" t="str">
        <f ca="1"/>
        <v>ברידג'</v>
      </c>
      <c r="R280" t="str">
        <f ca="1"/>
        <v>בידור</v>
      </c>
      <c r="S280">
        <f ca="1"/>
        <v>75</v>
      </c>
      <c r="T280">
        <f ca="1"/>
        <v>3</v>
      </c>
    </row>
    <row r="281" spans="1:20">
      <c r="A281" s="18">
        <v>45085</v>
      </c>
      <c r="B281" s="19" t="s">
        <v>55</v>
      </c>
      <c r="C281" s="19" t="s">
        <v>75</v>
      </c>
      <c r="D281" s="19" t="s">
        <v>30</v>
      </c>
      <c r="E281" s="19">
        <v>350</v>
      </c>
      <c r="F281" s="19">
        <v>20</v>
      </c>
      <c r="G281" s="19" t="s">
        <v>66</v>
      </c>
      <c r="H281" s="20">
        <v>6803</v>
      </c>
      <c r="J281" t="str">
        <v>מכבים</v>
      </c>
      <c r="K281" t="str">
        <v>וורד</v>
      </c>
      <c r="L281" t="str">
        <v>משרדית</v>
      </c>
      <c r="M281">
        <v>350</v>
      </c>
      <c r="N281">
        <v>28</v>
      </c>
      <c r="P281" t="str">
        <f ca="1"/>
        <v>ראשון לציון</v>
      </c>
      <c r="Q281" t="str">
        <f ca="1"/>
        <v>אקסס</v>
      </c>
      <c r="R281" t="str">
        <f ca="1"/>
        <v>משרדית</v>
      </c>
      <c r="S281">
        <f ca="1"/>
        <v>95</v>
      </c>
      <c r="T281">
        <f ca="1"/>
        <v>19</v>
      </c>
    </row>
    <row r="282" spans="1:20">
      <c r="A282" s="18">
        <v>45085</v>
      </c>
      <c r="B282" s="19" t="s">
        <v>38</v>
      </c>
      <c r="C282" s="19" t="s">
        <v>75</v>
      </c>
      <c r="D282" s="19" t="s">
        <v>30</v>
      </c>
      <c r="E282" s="19">
        <v>350</v>
      </c>
      <c r="F282" s="19">
        <v>10</v>
      </c>
      <c r="G282" s="19" t="s">
        <v>63</v>
      </c>
      <c r="H282" s="20">
        <v>2955</v>
      </c>
      <c r="J282" t="str">
        <v>מכבים</v>
      </c>
      <c r="K282" t="str">
        <v>יודורה</v>
      </c>
      <c r="L282" t="str">
        <v>משרדית</v>
      </c>
      <c r="M282">
        <v>59</v>
      </c>
      <c r="N282">
        <v>26</v>
      </c>
      <c r="P282" t="str">
        <f ca="1"/>
        <v>ירושלים</v>
      </c>
      <c r="Q282" t="str">
        <f ca="1"/>
        <v>ברידג'</v>
      </c>
      <c r="R282" t="str">
        <f ca="1"/>
        <v>בידור</v>
      </c>
      <c r="S282">
        <f ca="1"/>
        <v>75</v>
      </c>
      <c r="T282">
        <f ca="1"/>
        <v>23</v>
      </c>
    </row>
    <row r="283" spans="1:20">
      <c r="A283" s="18">
        <v>45115</v>
      </c>
      <c r="B283" s="19" t="s">
        <v>24</v>
      </c>
      <c r="C283" s="19" t="s">
        <v>25</v>
      </c>
      <c r="D283" s="19" t="s">
        <v>26</v>
      </c>
      <c r="E283" s="19">
        <v>280</v>
      </c>
      <c r="F283" s="19">
        <v>8</v>
      </c>
      <c r="G283" s="19" t="s">
        <v>76</v>
      </c>
      <c r="H283" s="20">
        <v>6462</v>
      </c>
      <c r="J283" t="str">
        <v>מכבים</v>
      </c>
      <c r="K283" t="str">
        <v>יודורה</v>
      </c>
      <c r="L283" t="str">
        <v>משרדית</v>
      </c>
      <c r="M283">
        <v>59</v>
      </c>
      <c r="N283">
        <v>13</v>
      </c>
      <c r="P283" t="str">
        <f ca="1"/>
        <v>ראשון לציון</v>
      </c>
      <c r="Q283" t="str">
        <f ca="1"/>
        <v>ווין-זיפ 8</v>
      </c>
      <c r="R283" t="str">
        <f ca="1"/>
        <v>דחיסה</v>
      </c>
      <c r="S283">
        <f ca="1"/>
        <v>199</v>
      </c>
      <c r="T283">
        <f ca="1"/>
        <v>8</v>
      </c>
    </row>
    <row r="284" spans="1:20">
      <c r="A284" s="18">
        <v>45115</v>
      </c>
      <c r="B284" s="19" t="s">
        <v>28</v>
      </c>
      <c r="C284" s="19" t="s">
        <v>65</v>
      </c>
      <c r="D284" s="19" t="s">
        <v>58</v>
      </c>
      <c r="E284" s="19">
        <v>399</v>
      </c>
      <c r="F284" s="19">
        <v>18</v>
      </c>
      <c r="G284" s="21" t="s">
        <v>36</v>
      </c>
      <c r="H284" s="20">
        <v>7342</v>
      </c>
      <c r="J284" t="str">
        <v>מכבים</v>
      </c>
      <c r="K284" t="str">
        <v>יודורה</v>
      </c>
      <c r="L284" t="str">
        <v>משרדית</v>
      </c>
      <c r="M284">
        <v>59</v>
      </c>
      <c r="N284">
        <v>22</v>
      </c>
      <c r="P284" t="str">
        <f ca="1"/>
        <v>תל אביב</v>
      </c>
      <c r="Q284" t="str">
        <f ca="1"/>
        <v>פאוור פוינט</v>
      </c>
      <c r="R284" t="str">
        <f ca="1"/>
        <v>מצגות</v>
      </c>
      <c r="S284">
        <f ca="1"/>
        <v>175</v>
      </c>
      <c r="T284">
        <f ca="1"/>
        <v>21</v>
      </c>
    </row>
    <row r="285" spans="1:20">
      <c r="A285" s="18">
        <v>45115</v>
      </c>
      <c r="B285" s="19" t="s">
        <v>28</v>
      </c>
      <c r="C285" s="19" t="s">
        <v>71</v>
      </c>
      <c r="D285" s="19" t="s">
        <v>30</v>
      </c>
      <c r="E285" s="19">
        <v>555</v>
      </c>
      <c r="F285" s="19">
        <v>18</v>
      </c>
      <c r="G285" s="19" t="s">
        <v>34</v>
      </c>
      <c r="H285" s="20">
        <v>12290</v>
      </c>
      <c r="J285" t="str">
        <v>מכבים</v>
      </c>
      <c r="K285" t="str">
        <v>פנל תמיכת החלטות</v>
      </c>
      <c r="L285" t="str">
        <v>משרדית</v>
      </c>
      <c r="M285">
        <v>899</v>
      </c>
      <c r="N285">
        <v>33</v>
      </c>
      <c r="P285" t="str">
        <f ca="1"/>
        <v>חיפה</v>
      </c>
      <c r="Q285" t="str">
        <f ca="1"/>
        <v>איריס</v>
      </c>
      <c r="R285" t="str">
        <f ca="1"/>
        <v>אנטיוירוס</v>
      </c>
      <c r="S285">
        <f ca="1"/>
        <v>499</v>
      </c>
      <c r="T285">
        <f ca="1"/>
        <v>19</v>
      </c>
    </row>
    <row r="286" spans="1:20">
      <c r="A286" s="18">
        <v>45177</v>
      </c>
      <c r="B286" s="19" t="s">
        <v>28</v>
      </c>
      <c r="C286" s="19" t="s">
        <v>75</v>
      </c>
      <c r="D286" s="19" t="s">
        <v>30</v>
      </c>
      <c r="E286" s="19">
        <v>350</v>
      </c>
      <c r="F286" s="19">
        <v>14</v>
      </c>
      <c r="G286" s="19" t="s">
        <v>31</v>
      </c>
      <c r="H286" s="20">
        <v>18451</v>
      </c>
      <c r="J286" t="str">
        <v>מכבים</v>
      </c>
      <c r="K286" t="str">
        <v>קורל דרו</v>
      </c>
      <c r="L286" t="str">
        <v>שרטוט</v>
      </c>
      <c r="M286">
        <v>280</v>
      </c>
      <c r="N286">
        <v>4</v>
      </c>
      <c r="P286" t="str">
        <f ca="1"/>
        <v>חיפה</v>
      </c>
      <c r="Q286" t="str">
        <f ca="1"/>
        <v>קורל דרו</v>
      </c>
      <c r="R286" t="str">
        <f ca="1"/>
        <v>שרטוט</v>
      </c>
      <c r="S286">
        <f ca="1"/>
        <v>280</v>
      </c>
      <c r="T286">
        <f ca="1"/>
        <v>33</v>
      </c>
    </row>
    <row r="287" spans="1:20">
      <c r="A287" s="18">
        <v>45177</v>
      </c>
      <c r="B287" s="19" t="s">
        <v>67</v>
      </c>
      <c r="C287" s="19" t="s">
        <v>65</v>
      </c>
      <c r="D287" s="19" t="s">
        <v>58</v>
      </c>
      <c r="E287" s="19">
        <v>399</v>
      </c>
      <c r="F287" s="19">
        <v>32</v>
      </c>
      <c r="G287" s="19" t="s">
        <v>69</v>
      </c>
      <c r="H287" s="20">
        <v>1331</v>
      </c>
      <c r="J287" t="str">
        <v>מכבים</v>
      </c>
      <c r="K287" t="str">
        <v>קורל דרו</v>
      </c>
      <c r="L287" t="str">
        <v>שרטוט</v>
      </c>
      <c r="M287">
        <v>280</v>
      </c>
      <c r="N287">
        <v>7</v>
      </c>
      <c r="P287" t="str">
        <f ca="1"/>
        <v>ראשון לציון</v>
      </c>
      <c r="Q287" t="str">
        <f ca="1"/>
        <v>בבילון</v>
      </c>
      <c r="R287" t="str">
        <f ca="1"/>
        <v>משרדית</v>
      </c>
      <c r="S287">
        <f ca="1"/>
        <v>99</v>
      </c>
      <c r="T287">
        <f ca="1"/>
        <v>2</v>
      </c>
    </row>
    <row r="288" spans="1:20">
      <c r="A288" s="18">
        <v>45238</v>
      </c>
      <c r="B288" s="19" t="s">
        <v>24</v>
      </c>
      <c r="C288" s="19" t="s">
        <v>57</v>
      </c>
      <c r="D288" s="19" t="s">
        <v>58</v>
      </c>
      <c r="E288" s="19">
        <v>175</v>
      </c>
      <c r="F288" s="19">
        <v>23</v>
      </c>
      <c r="G288" s="19" t="s">
        <v>87</v>
      </c>
      <c r="H288" s="20">
        <v>6414</v>
      </c>
      <c r="J288" t="str">
        <v>מכבים</v>
      </c>
      <c r="K288" t="str">
        <v>קורל דרו</v>
      </c>
      <c r="L288" t="str">
        <v>שרטוט</v>
      </c>
      <c r="M288">
        <v>280</v>
      </c>
      <c r="N288">
        <v>25</v>
      </c>
      <c r="P288" t="str">
        <f ca="1"/>
        <v>תל אביב</v>
      </c>
      <c r="Q288" t="str">
        <f ca="1"/>
        <v>יודורה</v>
      </c>
      <c r="R288" t="str">
        <f ca="1"/>
        <v>משרדית</v>
      </c>
      <c r="S288">
        <f ca="1"/>
        <v>59</v>
      </c>
      <c r="T288">
        <f ca="1"/>
        <v>30</v>
      </c>
    </row>
    <row r="289" spans="1:20">
      <c r="A289" s="18" t="s">
        <v>769</v>
      </c>
      <c r="B289" s="19" t="s">
        <v>49</v>
      </c>
      <c r="C289" s="19" t="s">
        <v>25</v>
      </c>
      <c r="D289" s="19" t="s">
        <v>26</v>
      </c>
      <c r="E289" s="19">
        <v>280</v>
      </c>
      <c r="F289" s="19">
        <v>9</v>
      </c>
      <c r="G289" s="19" t="s">
        <v>79</v>
      </c>
      <c r="H289" s="20">
        <v>14994</v>
      </c>
      <c r="J289" t="str">
        <v>מכבים</v>
      </c>
      <c r="K289" t="str">
        <v>קורל דרו</v>
      </c>
      <c r="L289" t="str">
        <v>שרטוט</v>
      </c>
      <c r="M289">
        <v>280</v>
      </c>
      <c r="N289">
        <v>29</v>
      </c>
      <c r="P289" t="str">
        <f ca="1"/>
        <v>ירושלים</v>
      </c>
      <c r="Q289" t="str">
        <f ca="1"/>
        <v>פיירוול 1</v>
      </c>
      <c r="R289" t="str">
        <f ca="1"/>
        <v>אבטחה</v>
      </c>
      <c r="S289">
        <f ca="1"/>
        <v>229</v>
      </c>
      <c r="T289">
        <f ca="1"/>
        <v>30</v>
      </c>
    </row>
    <row r="290" spans="1:20">
      <c r="A290" s="18" t="s">
        <v>769</v>
      </c>
      <c r="B290" s="19" t="s">
        <v>55</v>
      </c>
      <c r="C290" s="19" t="s">
        <v>75</v>
      </c>
      <c r="D290" s="19" t="s">
        <v>30</v>
      </c>
      <c r="E290" s="19">
        <v>350</v>
      </c>
      <c r="F290" s="19">
        <v>14</v>
      </c>
      <c r="G290" s="19" t="s">
        <v>59</v>
      </c>
      <c r="H290" s="20">
        <v>1019</v>
      </c>
      <c r="J290" t="str">
        <v>מכבים</v>
      </c>
      <c r="K290" t="str">
        <v>קורל דרו</v>
      </c>
      <c r="L290" t="str">
        <v>שרטוט</v>
      </c>
      <c r="M290">
        <v>280</v>
      </c>
      <c r="N290">
        <v>4</v>
      </c>
      <c r="P290" t="str">
        <f ca="1"/>
        <v>ראשון לציון</v>
      </c>
      <c r="Q290" t="str">
        <f ca="1"/>
        <v>אקסס</v>
      </c>
      <c r="R290" t="str">
        <f ca="1"/>
        <v>משרדית</v>
      </c>
      <c r="S290">
        <f ca="1"/>
        <v>95</v>
      </c>
      <c r="T290">
        <f ca="1"/>
        <v>23</v>
      </c>
    </row>
    <row r="291" spans="1:20">
      <c r="A291" s="18" t="s">
        <v>770</v>
      </c>
      <c r="B291" s="19" t="s">
        <v>38</v>
      </c>
      <c r="C291" s="19" t="s">
        <v>68</v>
      </c>
      <c r="D291" s="19" t="s">
        <v>40</v>
      </c>
      <c r="E291" s="19">
        <v>149</v>
      </c>
      <c r="F291" s="19">
        <v>31</v>
      </c>
      <c r="G291" s="19" t="s">
        <v>60</v>
      </c>
      <c r="H291" s="20">
        <v>16573</v>
      </c>
      <c r="J291" t="str">
        <v>מכבים</v>
      </c>
      <c r="K291" t="str">
        <v>קורל דרו</v>
      </c>
      <c r="L291" t="str">
        <v>שרטוט</v>
      </c>
      <c r="M291">
        <v>280</v>
      </c>
      <c r="N291">
        <v>8</v>
      </c>
      <c r="P291" t="str">
        <f ca="1"/>
        <v>אילת</v>
      </c>
      <c r="Q291" t="str">
        <f ca="1"/>
        <v>ברידג'</v>
      </c>
      <c r="R291" t="str">
        <f ca="1"/>
        <v>בידור</v>
      </c>
      <c r="S291">
        <f ca="1"/>
        <v>75</v>
      </c>
      <c r="T291">
        <f ca="1"/>
        <v>27</v>
      </c>
    </row>
    <row r="292" spans="1:20">
      <c r="A292" s="18" t="s">
        <v>771</v>
      </c>
      <c r="B292" s="19" t="s">
        <v>38</v>
      </c>
      <c r="C292" s="19" t="s">
        <v>25</v>
      </c>
      <c r="D292" s="19" t="s">
        <v>26</v>
      </c>
      <c r="E292" s="19">
        <v>280</v>
      </c>
      <c r="F292" s="19">
        <v>26</v>
      </c>
      <c r="G292" s="19" t="s">
        <v>64</v>
      </c>
      <c r="H292" s="20">
        <v>2738</v>
      </c>
      <c r="J292" t="str">
        <v>מכבים</v>
      </c>
      <c r="K292" t="str">
        <v>קורל דרו</v>
      </c>
      <c r="L292" t="str">
        <v>שרטוט</v>
      </c>
      <c r="M292">
        <v>280</v>
      </c>
      <c r="N292">
        <v>7</v>
      </c>
      <c r="P292" t="str">
        <f ca="1"/>
        <v>אילת</v>
      </c>
      <c r="Q292" t="str">
        <f ca="1"/>
        <v>אקרובט</v>
      </c>
      <c r="R292" t="str">
        <f ca="1"/>
        <v>משרדית</v>
      </c>
      <c r="S292">
        <f ca="1"/>
        <v>599</v>
      </c>
      <c r="T292">
        <f ca="1"/>
        <v>21</v>
      </c>
    </row>
    <row r="293" spans="1:20">
      <c r="A293" s="18" t="s">
        <v>771</v>
      </c>
      <c r="B293" s="19" t="s">
        <v>28</v>
      </c>
      <c r="C293" s="19" t="s">
        <v>42</v>
      </c>
      <c r="D293" s="19" t="s">
        <v>30</v>
      </c>
      <c r="E293" s="19">
        <v>59</v>
      </c>
      <c r="F293" s="19">
        <v>25</v>
      </c>
      <c r="G293" s="19" t="s">
        <v>31</v>
      </c>
      <c r="H293" s="20">
        <v>3311</v>
      </c>
      <c r="J293" t="str">
        <v>מכבים</v>
      </c>
      <c r="K293" t="str">
        <v>קורל דרו</v>
      </c>
      <c r="L293" t="str">
        <v>שרטוט</v>
      </c>
      <c r="M293">
        <v>280</v>
      </c>
      <c r="N293">
        <v>14</v>
      </c>
      <c r="P293" t="str">
        <f ca="1"/>
        <v>קרית שמונה</v>
      </c>
      <c r="Q293" t="str">
        <f ca="1"/>
        <v>נגן ריל פלייר 1</v>
      </c>
      <c r="R293" t="str">
        <f ca="1"/>
        <v>בידור</v>
      </c>
      <c r="S293">
        <f ca="1"/>
        <v>139</v>
      </c>
      <c r="T293">
        <f ca="1"/>
        <v>24</v>
      </c>
    </row>
    <row r="294" spans="1:20">
      <c r="A294" s="18" t="s">
        <v>772</v>
      </c>
      <c r="B294" s="19" t="s">
        <v>49</v>
      </c>
      <c r="C294" s="19" t="s">
        <v>35</v>
      </c>
      <c r="D294" s="19" t="s">
        <v>30</v>
      </c>
      <c r="E294" s="19">
        <v>599</v>
      </c>
      <c r="F294" s="19">
        <v>3</v>
      </c>
      <c r="G294" s="19" t="s">
        <v>52</v>
      </c>
      <c r="H294" s="20">
        <v>19806</v>
      </c>
      <c r="J294" t="str">
        <v>סניף</v>
      </c>
      <c r="K294" t="str">
        <v>התוכנה</v>
      </c>
      <c r="L294" t="str">
        <v>סיווג התוכנה</v>
      </c>
      <c r="M294" t="str">
        <v>מחיר יחידה</v>
      </c>
      <c r="N294" t="str">
        <v>כמות</v>
      </c>
      <c r="P294" t="str">
        <f ca="1"/>
        <v>ראשון לציון</v>
      </c>
      <c r="Q294" t="str">
        <f ca="1"/>
        <v>וורד</v>
      </c>
      <c r="R294" t="str">
        <f ca="1"/>
        <v>משרדית</v>
      </c>
      <c r="S294">
        <f ca="1"/>
        <v>350</v>
      </c>
      <c r="T294">
        <f ca="1"/>
        <v>18</v>
      </c>
    </row>
    <row r="295" spans="1:20">
      <c r="A295" s="18" t="s">
        <v>773</v>
      </c>
      <c r="B295" s="19" t="s">
        <v>55</v>
      </c>
      <c r="C295" s="19" t="s">
        <v>44</v>
      </c>
      <c r="D295" s="19" t="s">
        <v>45</v>
      </c>
      <c r="E295" s="19">
        <v>99</v>
      </c>
      <c r="F295" s="19">
        <v>12</v>
      </c>
      <c r="G295" s="19" t="s">
        <v>66</v>
      </c>
      <c r="H295" s="20">
        <v>2595</v>
      </c>
      <c r="J295" t="str">
        <v>קרית שמונה</v>
      </c>
      <c r="K295" t="str">
        <v>פגפ</v>
      </c>
      <c r="L295" t="str">
        <v>אבטחה</v>
      </c>
      <c r="M295">
        <v>299</v>
      </c>
      <c r="N295">
        <v>2</v>
      </c>
      <c r="P295" t="str">
        <f ca="1"/>
        <v>חיפה</v>
      </c>
      <c r="Q295" t="str">
        <f ca="1"/>
        <v>סוליטיר</v>
      </c>
      <c r="R295" t="str">
        <f ca="1"/>
        <v>בידור</v>
      </c>
      <c r="S295">
        <f ca="1"/>
        <v>119</v>
      </c>
      <c r="T295">
        <f ca="1"/>
        <v>33</v>
      </c>
    </row>
    <row r="296" spans="1:20">
      <c r="A296" s="18" t="s">
        <v>773</v>
      </c>
      <c r="B296" s="19" t="s">
        <v>24</v>
      </c>
      <c r="C296" s="19" t="s">
        <v>85</v>
      </c>
      <c r="D296" s="19" t="s">
        <v>51</v>
      </c>
      <c r="E296" s="19">
        <v>75</v>
      </c>
      <c r="F296" s="19">
        <v>32</v>
      </c>
      <c r="G296" s="19" t="s">
        <v>76</v>
      </c>
      <c r="H296" s="20">
        <v>15862</v>
      </c>
      <c r="J296" t="str">
        <v>קרית שמונה</v>
      </c>
      <c r="K296" t="str">
        <v>פגפ</v>
      </c>
      <c r="L296" t="str">
        <v>אבטחה</v>
      </c>
      <c r="M296">
        <v>299</v>
      </c>
      <c r="N296">
        <v>14</v>
      </c>
      <c r="P296" t="str">
        <f ca="1"/>
        <v>מכבים</v>
      </c>
      <c r="Q296" t="str">
        <f ca="1"/>
        <v>בבילון</v>
      </c>
      <c r="R296" t="str">
        <f ca="1"/>
        <v>משרדית</v>
      </c>
      <c r="S296">
        <f ca="1"/>
        <v>99</v>
      </c>
      <c r="T296">
        <f ca="1"/>
        <v>7</v>
      </c>
    </row>
    <row r="297" spans="1:20">
      <c r="A297" s="18" t="s">
        <v>774</v>
      </c>
      <c r="B297" s="19" t="s">
        <v>24</v>
      </c>
      <c r="C297" s="19" t="s">
        <v>62</v>
      </c>
      <c r="D297" s="19" t="s">
        <v>33</v>
      </c>
      <c r="E297" s="19">
        <v>629</v>
      </c>
      <c r="F297" s="19">
        <v>9</v>
      </c>
      <c r="G297" s="19" t="s">
        <v>37</v>
      </c>
      <c r="H297" s="20">
        <v>4578</v>
      </c>
      <c r="J297" t="str">
        <v>קרית שמונה</v>
      </c>
      <c r="K297" t="str">
        <v>פגפ</v>
      </c>
      <c r="L297" t="str">
        <v>אבטחה</v>
      </c>
      <c r="M297">
        <v>299</v>
      </c>
      <c r="N297">
        <v>7</v>
      </c>
      <c r="P297" t="str">
        <f ca="1"/>
        <v>אילת</v>
      </c>
      <c r="Q297" t="str">
        <f ca="1"/>
        <v>פרו-פורט</v>
      </c>
      <c r="R297" t="str">
        <f ca="1"/>
        <v>אבטחה</v>
      </c>
      <c r="S297">
        <f ca="1"/>
        <v>149</v>
      </c>
      <c r="T297">
        <f ca="1"/>
        <v>25</v>
      </c>
    </row>
    <row r="298" spans="1:20">
      <c r="A298" s="18" t="s">
        <v>774</v>
      </c>
      <c r="B298" s="19" t="s">
        <v>38</v>
      </c>
      <c r="C298" s="19" t="s">
        <v>53</v>
      </c>
      <c r="D298" s="19" t="s">
        <v>40</v>
      </c>
      <c r="E298" s="19">
        <v>229</v>
      </c>
      <c r="F298" s="19">
        <v>17</v>
      </c>
      <c r="G298" s="19" t="s">
        <v>41</v>
      </c>
      <c r="H298" s="20">
        <v>5345</v>
      </c>
      <c r="J298" t="str">
        <v>קרית שמונה</v>
      </c>
      <c r="K298" t="str">
        <v>פגפ</v>
      </c>
      <c r="L298" t="str">
        <v>אבטחה</v>
      </c>
      <c r="M298">
        <v>299</v>
      </c>
      <c r="N298">
        <v>33</v>
      </c>
      <c r="P298" t="str">
        <f ca="1"/>
        <v>ראשון לציון</v>
      </c>
      <c r="Q298" t="str">
        <f ca="1"/>
        <v>נגן ריל פלייר 1</v>
      </c>
      <c r="R298" t="str">
        <f ca="1"/>
        <v>בידור</v>
      </c>
      <c r="S298">
        <f ca="1"/>
        <v>139</v>
      </c>
      <c r="T298">
        <f ca="1"/>
        <v>10</v>
      </c>
    </row>
    <row r="299" spans="1:20">
      <c r="A299" s="18" t="s">
        <v>775</v>
      </c>
      <c r="B299" s="19" t="s">
        <v>38</v>
      </c>
      <c r="C299" s="19" t="s">
        <v>65</v>
      </c>
      <c r="D299" s="19" t="s">
        <v>58</v>
      </c>
      <c r="E299" s="19">
        <v>399</v>
      </c>
      <c r="F299" s="19">
        <v>14</v>
      </c>
      <c r="G299" s="19" t="s">
        <v>41</v>
      </c>
      <c r="H299" s="20">
        <v>14221</v>
      </c>
      <c r="J299" t="str">
        <v>קרית שמונה</v>
      </c>
      <c r="K299" t="str">
        <v>פרו-פורט</v>
      </c>
      <c r="L299" t="str">
        <v>אבטחה</v>
      </c>
      <c r="M299">
        <v>149</v>
      </c>
      <c r="N299">
        <v>14</v>
      </c>
      <c r="P299" t="str">
        <f ca="1"/>
        <v>מכבים</v>
      </c>
      <c r="Q299" t="str">
        <f ca="1"/>
        <v>אקסל</v>
      </c>
      <c r="R299" t="str">
        <f ca="1"/>
        <v>משרדית</v>
      </c>
      <c r="S299">
        <f ca="1"/>
        <v>555</v>
      </c>
      <c r="T299">
        <f ca="1"/>
        <v>25</v>
      </c>
    </row>
    <row r="300" spans="1:20">
      <c r="A300" s="18" t="s">
        <v>775</v>
      </c>
      <c r="B300" s="19" t="s">
        <v>28</v>
      </c>
      <c r="C300" s="19" t="s">
        <v>73</v>
      </c>
      <c r="D300" s="19" t="s">
        <v>51</v>
      </c>
      <c r="E300" s="19">
        <v>119</v>
      </c>
      <c r="F300" s="19">
        <v>24</v>
      </c>
      <c r="G300" s="19" t="s">
        <v>34</v>
      </c>
      <c r="H300" s="20">
        <v>16424</v>
      </c>
      <c r="J300" t="str">
        <v>קרית שמונה</v>
      </c>
      <c r="K300" t="str">
        <v>פרו-פורט</v>
      </c>
      <c r="L300" t="str">
        <v>אבטחה</v>
      </c>
      <c r="M300">
        <v>149</v>
      </c>
      <c r="N300">
        <v>30</v>
      </c>
      <c r="P300" t="str">
        <f ca="1"/>
        <v>ראשון לציון</v>
      </c>
      <c r="Q300" t="str">
        <f ca="1"/>
        <v>פאוור פוינט</v>
      </c>
      <c r="R300" t="str">
        <f ca="1"/>
        <v>מצגות</v>
      </c>
      <c r="S300">
        <f ca="1"/>
        <v>175</v>
      </c>
      <c r="T300">
        <f ca="1"/>
        <v>10</v>
      </c>
    </row>
    <row r="301" spans="1:20">
      <c r="A301" s="18" t="s">
        <v>776</v>
      </c>
      <c r="B301" s="19" t="s">
        <v>38</v>
      </c>
      <c r="C301" s="19" t="s">
        <v>44</v>
      </c>
      <c r="D301" s="19" t="s">
        <v>45</v>
      </c>
      <c r="E301" s="19">
        <v>99</v>
      </c>
      <c r="F301" s="19">
        <v>12</v>
      </c>
      <c r="G301" s="19" t="s">
        <v>60</v>
      </c>
      <c r="H301" s="20">
        <v>2656</v>
      </c>
      <c r="J301" t="str">
        <v>קרית שמונה</v>
      </c>
      <c r="K301" t="str">
        <v>פרו-פורט</v>
      </c>
      <c r="L301" t="str">
        <v>אבטחה</v>
      </c>
      <c r="M301">
        <v>149</v>
      </c>
      <c r="N301">
        <v>9</v>
      </c>
      <c r="P301" t="str">
        <f ca="1"/>
        <v>חיפה</v>
      </c>
      <c r="Q301" t="str">
        <f ca="1"/>
        <v>פנל תמיכת החלטות</v>
      </c>
      <c r="R301" t="str">
        <f ca="1"/>
        <v>משרדית</v>
      </c>
      <c r="S301">
        <f ca="1"/>
        <v>899</v>
      </c>
      <c r="T301">
        <f ca="1"/>
        <v>31</v>
      </c>
    </row>
    <row r="302" spans="1:20">
      <c r="A302" s="18" t="s">
        <v>776</v>
      </c>
      <c r="B302" s="19" t="s">
        <v>38</v>
      </c>
      <c r="C302" s="19" t="s">
        <v>85</v>
      </c>
      <c r="D302" s="19" t="s">
        <v>51</v>
      </c>
      <c r="E302" s="19">
        <v>75</v>
      </c>
      <c r="F302" s="19">
        <v>3</v>
      </c>
      <c r="G302" s="19" t="s">
        <v>63</v>
      </c>
      <c r="H302" s="20">
        <v>9338</v>
      </c>
      <c r="J302" t="str">
        <v>קרית שמונה</v>
      </c>
      <c r="K302" t="str">
        <v>איריס</v>
      </c>
      <c r="L302" t="str">
        <v>אנטיוירוס</v>
      </c>
      <c r="M302">
        <v>499</v>
      </c>
      <c r="N302">
        <v>25</v>
      </c>
      <c r="P302" t="str">
        <f ca="1"/>
        <v>ירושלים</v>
      </c>
      <c r="Q302" t="str">
        <f ca="1"/>
        <v>זיפ-יט</v>
      </c>
      <c r="R302" t="str">
        <f ca="1"/>
        <v>דחיסה</v>
      </c>
      <c r="S302">
        <f ca="1"/>
        <v>99</v>
      </c>
      <c r="T302">
        <f ca="1"/>
        <v>11</v>
      </c>
    </row>
    <row r="303" spans="1:20">
      <c r="A303" s="18" t="s">
        <v>776</v>
      </c>
      <c r="B303" s="19" t="s">
        <v>81</v>
      </c>
      <c r="C303" s="19" t="s">
        <v>39</v>
      </c>
      <c r="D303" s="19" t="s">
        <v>40</v>
      </c>
      <c r="E303" s="19">
        <v>299</v>
      </c>
      <c r="F303" s="19">
        <v>7</v>
      </c>
      <c r="G303" s="19" t="s">
        <v>82</v>
      </c>
      <c r="H303" s="20">
        <v>16500</v>
      </c>
      <c r="J303" t="str">
        <v>קרית שמונה</v>
      </c>
      <c r="K303" t="str">
        <v>איריס</v>
      </c>
      <c r="L303" t="str">
        <v>אנטיוירוס</v>
      </c>
      <c r="M303">
        <v>499</v>
      </c>
      <c r="N303">
        <v>14</v>
      </c>
      <c r="P303" t="str">
        <f ca="1"/>
        <v>אילת</v>
      </c>
      <c r="Q303" t="str">
        <f ca="1"/>
        <v>פאוור פוינט</v>
      </c>
      <c r="R303" t="str">
        <f ca="1"/>
        <v>מצגות</v>
      </c>
      <c r="S303">
        <f ca="1"/>
        <v>175</v>
      </c>
      <c r="T303">
        <f ca="1"/>
        <v>13</v>
      </c>
    </row>
    <row r="304" spans="1:20">
      <c r="A304" s="18" t="s">
        <v>777</v>
      </c>
      <c r="B304" s="19" t="s">
        <v>38</v>
      </c>
      <c r="C304" s="19" t="s">
        <v>29</v>
      </c>
      <c r="D304" s="19" t="s">
        <v>30</v>
      </c>
      <c r="E304" s="19">
        <v>899</v>
      </c>
      <c r="F304" s="19">
        <v>26</v>
      </c>
      <c r="G304" s="19" t="s">
        <v>60</v>
      </c>
      <c r="H304" s="20">
        <v>11997</v>
      </c>
      <c r="J304" t="str">
        <v>קרית שמונה</v>
      </c>
      <c r="K304" t="str">
        <v>נורטון</v>
      </c>
      <c r="L304" t="str">
        <v>אנטיוירוס</v>
      </c>
      <c r="M304">
        <v>629</v>
      </c>
      <c r="N304">
        <v>5</v>
      </c>
      <c r="P304" t="str">
        <f ca="1"/>
        <v>קרית שמונה</v>
      </c>
      <c r="Q304" t="str">
        <f ca="1"/>
        <v>אקרובט</v>
      </c>
      <c r="R304" t="str">
        <f ca="1"/>
        <v>משרדית</v>
      </c>
      <c r="S304">
        <f ca="1"/>
        <v>599</v>
      </c>
      <c r="T304">
        <f ca="1"/>
        <v>9</v>
      </c>
    </row>
    <row r="305" spans="1:20">
      <c r="A305" s="18" t="s">
        <v>778</v>
      </c>
      <c r="B305" s="19" t="s">
        <v>55</v>
      </c>
      <c r="C305" s="19" t="s">
        <v>32</v>
      </c>
      <c r="D305" s="19" t="s">
        <v>33</v>
      </c>
      <c r="E305" s="19">
        <v>499</v>
      </c>
      <c r="F305" s="19">
        <v>4</v>
      </c>
      <c r="G305" s="19" t="s">
        <v>59</v>
      </c>
      <c r="H305" s="20">
        <v>13191</v>
      </c>
      <c r="J305" t="str">
        <v>קרית שמונה</v>
      </c>
      <c r="K305" t="str">
        <v>נורטון</v>
      </c>
      <c r="L305" t="str">
        <v>אנטיוירוס</v>
      </c>
      <c r="M305">
        <v>629</v>
      </c>
      <c r="N305">
        <v>18</v>
      </c>
      <c r="P305" t="str">
        <f ca="1"/>
        <v>חיפה</v>
      </c>
      <c r="Q305" t="str">
        <f ca="1"/>
        <v>אקסס</v>
      </c>
      <c r="R305" t="str">
        <f ca="1"/>
        <v>משרדית</v>
      </c>
      <c r="S305">
        <f ca="1"/>
        <v>95</v>
      </c>
      <c r="T305">
        <f ca="1"/>
        <v>11</v>
      </c>
    </row>
    <row r="306" spans="1:20">
      <c r="A306" s="18" t="s">
        <v>779</v>
      </c>
      <c r="B306" s="19" t="s">
        <v>55</v>
      </c>
      <c r="C306" s="19" t="s">
        <v>71</v>
      </c>
      <c r="D306" s="19" t="s">
        <v>30</v>
      </c>
      <c r="E306" s="19">
        <v>555</v>
      </c>
      <c r="F306" s="19">
        <v>26</v>
      </c>
      <c r="G306" s="19" t="s">
        <v>59</v>
      </c>
      <c r="H306" s="20">
        <v>17809</v>
      </c>
      <c r="J306" t="str">
        <v>קרית שמונה</v>
      </c>
      <c r="K306" t="str">
        <v>נורטון</v>
      </c>
      <c r="L306" t="str">
        <v>אנטיוירוס</v>
      </c>
      <c r="M306">
        <v>629</v>
      </c>
      <c r="N306">
        <v>10</v>
      </c>
      <c r="P306" t="str">
        <f ca="1"/>
        <v>מכבים</v>
      </c>
      <c r="Q306" t="str">
        <f ca="1"/>
        <v>זיפ-יט</v>
      </c>
      <c r="R306" t="str">
        <f ca="1"/>
        <v>דחיסה</v>
      </c>
      <c r="S306">
        <f ca="1"/>
        <v>99</v>
      </c>
      <c r="T306">
        <f ca="1"/>
        <v>30</v>
      </c>
    </row>
    <row r="307" spans="1:20">
      <c r="A307" s="18" t="s">
        <v>780</v>
      </c>
      <c r="B307" s="19" t="s">
        <v>28</v>
      </c>
      <c r="C307" s="19" t="s">
        <v>61</v>
      </c>
      <c r="D307" s="19" t="s">
        <v>45</v>
      </c>
      <c r="E307" s="19">
        <v>199</v>
      </c>
      <c r="F307" s="19">
        <v>11</v>
      </c>
      <c r="G307" s="21" t="s">
        <v>36</v>
      </c>
      <c r="H307" s="20">
        <v>14634</v>
      </c>
      <c r="J307" t="str">
        <v>קרית שמונה</v>
      </c>
      <c r="K307" t="str">
        <v>ברידג'</v>
      </c>
      <c r="L307" t="str">
        <v>בידור</v>
      </c>
      <c r="M307">
        <v>75</v>
      </c>
      <c r="N307">
        <v>29</v>
      </c>
      <c r="P307" t="str">
        <f ca="1"/>
        <v>ירושלים</v>
      </c>
      <c r="Q307" t="str">
        <f ca="1"/>
        <v>איריס</v>
      </c>
      <c r="R307" t="str">
        <f ca="1"/>
        <v>אנטיוירוס</v>
      </c>
      <c r="S307">
        <f ca="1"/>
        <v>499</v>
      </c>
      <c r="T307">
        <f ca="1"/>
        <v>22</v>
      </c>
    </row>
    <row r="308" spans="1:20">
      <c r="A308" s="18" t="s">
        <v>780</v>
      </c>
      <c r="B308" s="19" t="s">
        <v>38</v>
      </c>
      <c r="C308" s="19" t="s">
        <v>62</v>
      </c>
      <c r="D308" s="19" t="s">
        <v>33</v>
      </c>
      <c r="E308" s="19">
        <v>629</v>
      </c>
      <c r="F308" s="19">
        <v>12</v>
      </c>
      <c r="G308" s="19" t="s">
        <v>41</v>
      </c>
      <c r="H308" s="20">
        <v>12890</v>
      </c>
      <c r="J308" t="str">
        <v>קרית שמונה</v>
      </c>
      <c r="K308" t="str">
        <v>ברידג'</v>
      </c>
      <c r="L308" t="str">
        <v>בידור</v>
      </c>
      <c r="M308">
        <v>75</v>
      </c>
      <c r="N308">
        <v>2</v>
      </c>
      <c r="P308" t="str">
        <f ca="1"/>
        <v>קרית שמונה</v>
      </c>
      <c r="Q308" t="str">
        <f ca="1"/>
        <v>פגפ</v>
      </c>
      <c r="R308" t="str">
        <f ca="1"/>
        <v>אבטחה</v>
      </c>
      <c r="S308">
        <f ca="1"/>
        <v>299</v>
      </c>
      <c r="T308">
        <f ca="1"/>
        <v>14</v>
      </c>
    </row>
    <row r="309" spans="1:20">
      <c r="A309" s="18" t="s">
        <v>780</v>
      </c>
      <c r="B309" s="19" t="s">
        <v>49</v>
      </c>
      <c r="C309" s="19" t="s">
        <v>75</v>
      </c>
      <c r="D309" s="19" t="s">
        <v>30</v>
      </c>
      <c r="E309" s="19">
        <v>350</v>
      </c>
      <c r="F309" s="19">
        <v>18</v>
      </c>
      <c r="G309" s="19" t="s">
        <v>52</v>
      </c>
      <c r="H309" s="20">
        <v>4561</v>
      </c>
      <c r="J309" t="str">
        <v>קרית שמונה</v>
      </c>
      <c r="K309" t="str">
        <v>נגן ריל פלייר 1</v>
      </c>
      <c r="L309" t="str">
        <v>בידור</v>
      </c>
      <c r="M309">
        <v>139</v>
      </c>
      <c r="N309">
        <v>12</v>
      </c>
      <c r="P309" t="str">
        <f ca="1"/>
        <v>קרית שמונה</v>
      </c>
      <c r="Q309" t="str">
        <f ca="1"/>
        <v>בבילון</v>
      </c>
      <c r="R309" t="str">
        <f ca="1"/>
        <v>משרדית</v>
      </c>
      <c r="S309">
        <f ca="1"/>
        <v>99</v>
      </c>
      <c r="T309">
        <f ca="1"/>
        <v>25</v>
      </c>
    </row>
    <row r="310" spans="1:20">
      <c r="A310" s="18" t="s">
        <v>780</v>
      </c>
      <c r="B310" s="19" t="s">
        <v>67</v>
      </c>
      <c r="C310" s="19" t="s">
        <v>62</v>
      </c>
      <c r="D310" s="19" t="s">
        <v>33</v>
      </c>
      <c r="E310" s="19">
        <v>629</v>
      </c>
      <c r="F310" s="19">
        <v>27</v>
      </c>
      <c r="G310" s="19" t="s">
        <v>69</v>
      </c>
      <c r="H310" s="20">
        <v>19121</v>
      </c>
      <c r="J310" t="str">
        <v>קרית שמונה</v>
      </c>
      <c r="K310" t="str">
        <v>נגן ריל פלייר 1</v>
      </c>
      <c r="L310" t="str">
        <v>בידור</v>
      </c>
      <c r="M310">
        <v>139</v>
      </c>
      <c r="N310">
        <v>24</v>
      </c>
      <c r="P310" t="str">
        <f ca="1"/>
        <v>אילת</v>
      </c>
      <c r="Q310" t="str">
        <f ca="1"/>
        <v>נגן ריל פלייר 1</v>
      </c>
      <c r="R310" t="str">
        <f ca="1"/>
        <v>בידור</v>
      </c>
      <c r="S310">
        <f ca="1"/>
        <v>139</v>
      </c>
      <c r="T310">
        <f ca="1"/>
        <v>24</v>
      </c>
    </row>
    <row r="311" spans="1:20">
      <c r="A311" s="18" t="s">
        <v>780</v>
      </c>
      <c r="B311" s="19" t="s">
        <v>81</v>
      </c>
      <c r="C311" s="19" t="s">
        <v>50</v>
      </c>
      <c r="D311" s="19" t="s">
        <v>51</v>
      </c>
      <c r="E311" s="19">
        <v>139</v>
      </c>
      <c r="F311" s="19">
        <v>24</v>
      </c>
      <c r="G311" s="19" t="s">
        <v>83</v>
      </c>
      <c r="H311" s="20">
        <v>15368</v>
      </c>
      <c r="J311" t="str">
        <v>קרית שמונה</v>
      </c>
      <c r="K311" t="str">
        <v>נגן ריל פלייר 1</v>
      </c>
      <c r="L311" t="str">
        <v>בידור</v>
      </c>
      <c r="M311">
        <v>139</v>
      </c>
      <c r="N311">
        <v>24</v>
      </c>
      <c r="P311" t="str">
        <f ca="1"/>
        <v>אילת</v>
      </c>
      <c r="Q311" t="str">
        <f ca="1"/>
        <v>נגן ריל פלייר 1</v>
      </c>
      <c r="R311" t="str">
        <f ca="1"/>
        <v>בידור</v>
      </c>
      <c r="S311">
        <f ca="1"/>
        <v>139</v>
      </c>
      <c r="T311">
        <f ca="1"/>
        <v>24</v>
      </c>
    </row>
    <row r="312" spans="1:20">
      <c r="A312" s="18" t="s">
        <v>781</v>
      </c>
      <c r="B312" s="19" t="s">
        <v>55</v>
      </c>
      <c r="C312" s="19" t="s">
        <v>73</v>
      </c>
      <c r="D312" s="19" t="s">
        <v>51</v>
      </c>
      <c r="E312" s="19">
        <v>119</v>
      </c>
      <c r="F312" s="19">
        <v>5</v>
      </c>
      <c r="G312" s="19" t="s">
        <v>66</v>
      </c>
      <c r="H312" s="20">
        <v>11313</v>
      </c>
      <c r="J312" t="str">
        <v>קרית שמונה</v>
      </c>
      <c r="K312" t="str">
        <v>סוליטיר</v>
      </c>
      <c r="L312" t="str">
        <v>בידור</v>
      </c>
      <c r="M312">
        <v>119</v>
      </c>
      <c r="N312">
        <v>33</v>
      </c>
      <c r="P312" t="str">
        <f ca="1"/>
        <v>מכבים</v>
      </c>
      <c r="Q312" t="str">
        <f ca="1"/>
        <v>זיפ-יט</v>
      </c>
      <c r="R312" t="str">
        <f ca="1"/>
        <v>דחיסה</v>
      </c>
      <c r="S312">
        <f ca="1"/>
        <v>99</v>
      </c>
      <c r="T312">
        <f ca="1"/>
        <v>15</v>
      </c>
    </row>
    <row r="313" spans="1:20">
      <c r="A313" s="18" t="s">
        <v>782</v>
      </c>
      <c r="B313" s="19" t="s">
        <v>38</v>
      </c>
      <c r="C313" s="19" t="s">
        <v>75</v>
      </c>
      <c r="D313" s="19" t="s">
        <v>30</v>
      </c>
      <c r="E313" s="19">
        <v>350</v>
      </c>
      <c r="F313" s="19">
        <v>26</v>
      </c>
      <c r="G313" s="19" t="s">
        <v>63</v>
      </c>
      <c r="H313" s="20">
        <v>15715</v>
      </c>
      <c r="J313" t="str">
        <v>קרית שמונה</v>
      </c>
      <c r="K313" t="str">
        <v>סוליטיר</v>
      </c>
      <c r="L313" t="str">
        <v>בידור</v>
      </c>
      <c r="M313">
        <v>119</v>
      </c>
      <c r="N313">
        <v>12</v>
      </c>
      <c r="P313" t="str">
        <f ca="1"/>
        <v>תל אביב</v>
      </c>
      <c r="Q313" t="str">
        <f ca="1"/>
        <v>אסטאונד</v>
      </c>
      <c r="R313" t="str">
        <f ca="1"/>
        <v>מצגות</v>
      </c>
      <c r="S313">
        <f ca="1"/>
        <v>399</v>
      </c>
      <c r="T313">
        <f ca="1"/>
        <v>23</v>
      </c>
    </row>
    <row r="314" spans="1:20">
      <c r="A314" s="18" t="s">
        <v>783</v>
      </c>
      <c r="B314" s="19" t="s">
        <v>38</v>
      </c>
      <c r="C314" s="19" t="s">
        <v>44</v>
      </c>
      <c r="D314" s="19" t="s">
        <v>45</v>
      </c>
      <c r="E314" s="19">
        <v>99</v>
      </c>
      <c r="F314" s="19">
        <v>9</v>
      </c>
      <c r="G314" s="19" t="s">
        <v>60</v>
      </c>
      <c r="H314" s="20">
        <v>14341</v>
      </c>
      <c r="J314" t="str">
        <v>קרית שמונה</v>
      </c>
      <c r="K314" t="str">
        <v>סוליטיר</v>
      </c>
      <c r="L314" t="str">
        <v>בידור</v>
      </c>
      <c r="M314">
        <v>119</v>
      </c>
      <c r="N314">
        <v>28</v>
      </c>
      <c r="P314" t="str">
        <f ca="1"/>
        <v>אילת</v>
      </c>
      <c r="Q314" t="str">
        <f ca="1"/>
        <v>פאוור פוינט</v>
      </c>
      <c r="R314" t="str">
        <f ca="1"/>
        <v>מצגות</v>
      </c>
      <c r="S314">
        <f ca="1"/>
        <v>175</v>
      </c>
      <c r="T314">
        <f ca="1"/>
        <v>28</v>
      </c>
    </row>
    <row r="315" spans="1:20">
      <c r="A315" s="18" t="s">
        <v>783</v>
      </c>
      <c r="B315" s="19" t="s">
        <v>55</v>
      </c>
      <c r="C315" s="19" t="s">
        <v>68</v>
      </c>
      <c r="D315" s="19" t="s">
        <v>40</v>
      </c>
      <c r="E315" s="19">
        <v>149</v>
      </c>
      <c r="F315" s="19">
        <v>6</v>
      </c>
      <c r="G315" s="19" t="s">
        <v>56</v>
      </c>
      <c r="H315" s="20">
        <v>17707</v>
      </c>
      <c r="J315" t="str">
        <v>קרית שמונה</v>
      </c>
      <c r="K315" t="str">
        <v>ווין-זיפ 8</v>
      </c>
      <c r="L315" t="str">
        <v>דחיסה</v>
      </c>
      <c r="M315">
        <v>199</v>
      </c>
      <c r="N315">
        <v>30</v>
      </c>
      <c r="P315" t="str">
        <f ca="1"/>
        <v>ראשון לציון</v>
      </c>
      <c r="Q315" t="str">
        <f ca="1"/>
        <v>נורטון</v>
      </c>
      <c r="R315" t="str">
        <f ca="1"/>
        <v>אנטיוירוס</v>
      </c>
      <c r="S315">
        <f ca="1"/>
        <v>629</v>
      </c>
      <c r="T315">
        <f ca="1"/>
        <v>25</v>
      </c>
    </row>
    <row r="316" spans="1:20">
      <c r="A316" s="18" t="s">
        <v>783</v>
      </c>
      <c r="B316" s="19" t="s">
        <v>38</v>
      </c>
      <c r="C316" s="19" t="s">
        <v>47</v>
      </c>
      <c r="D316" s="19" t="s">
        <v>30</v>
      </c>
      <c r="E316" s="19">
        <v>99</v>
      </c>
      <c r="F316" s="19">
        <v>25</v>
      </c>
      <c r="G316" s="19" t="s">
        <v>60</v>
      </c>
      <c r="H316" s="20">
        <v>16286</v>
      </c>
      <c r="J316" t="str">
        <v>קרית שמונה</v>
      </c>
      <c r="K316" t="str">
        <v>זיפ-יט</v>
      </c>
      <c r="L316" t="str">
        <v>דחיסה</v>
      </c>
      <c r="M316">
        <v>99</v>
      </c>
      <c r="N316">
        <v>32</v>
      </c>
      <c r="P316" t="str">
        <f ca="1"/>
        <v>תל אביב</v>
      </c>
      <c r="Q316" t="str">
        <f ca="1"/>
        <v>אסטאונד</v>
      </c>
      <c r="R316" t="str">
        <f ca="1"/>
        <v>מצגות</v>
      </c>
      <c r="S316">
        <f ca="1"/>
        <v>399</v>
      </c>
      <c r="T316">
        <f ca="1"/>
        <v>18</v>
      </c>
    </row>
    <row r="317" spans="1:20">
      <c r="A317" s="18" t="s">
        <v>783</v>
      </c>
      <c r="B317" s="19" t="s">
        <v>55</v>
      </c>
      <c r="C317" s="19" t="s">
        <v>61</v>
      </c>
      <c r="D317" s="19" t="s">
        <v>45</v>
      </c>
      <c r="E317" s="19">
        <v>199</v>
      </c>
      <c r="F317" s="19">
        <v>26</v>
      </c>
      <c r="G317" s="19" t="s">
        <v>80</v>
      </c>
      <c r="H317" s="20">
        <v>1221</v>
      </c>
      <c r="J317" t="str">
        <v>קרית שמונה</v>
      </c>
      <c r="K317" t="str">
        <v>זיפ-יט</v>
      </c>
      <c r="L317" t="str">
        <v>דחיסה</v>
      </c>
      <c r="M317">
        <v>99</v>
      </c>
      <c r="N317">
        <v>23</v>
      </c>
      <c r="P317" t="str">
        <f ca="1"/>
        <v>מכבים</v>
      </c>
      <c r="Q317" t="str">
        <f ca="1"/>
        <v>אקסס</v>
      </c>
      <c r="R317" t="str">
        <f ca="1"/>
        <v>משרדית</v>
      </c>
      <c r="S317">
        <f ca="1"/>
        <v>95</v>
      </c>
      <c r="T317">
        <f ca="1"/>
        <v>13</v>
      </c>
    </row>
    <row r="318" spans="1:20">
      <c r="A318" s="18" t="s">
        <v>784</v>
      </c>
      <c r="B318" s="19" t="s">
        <v>49</v>
      </c>
      <c r="C318" s="19" t="s">
        <v>57</v>
      </c>
      <c r="D318" s="19" t="s">
        <v>58</v>
      </c>
      <c r="E318" s="19">
        <v>175</v>
      </c>
      <c r="F318" s="19">
        <v>6</v>
      </c>
      <c r="G318" s="19" t="s">
        <v>52</v>
      </c>
      <c r="H318" s="20">
        <v>5857</v>
      </c>
      <c r="J318" t="str">
        <v>קרית שמונה</v>
      </c>
      <c r="K318" t="str">
        <v>אסטאונד</v>
      </c>
      <c r="L318" t="str">
        <v>מצגות</v>
      </c>
      <c r="M318">
        <v>399</v>
      </c>
      <c r="N318">
        <v>30</v>
      </c>
      <c r="P318" t="str">
        <f ca="1"/>
        <v>מכבים</v>
      </c>
      <c r="Q318" t="str">
        <f ca="1"/>
        <v>פרו-פורט</v>
      </c>
      <c r="R318" t="str">
        <f ca="1"/>
        <v>אבטחה</v>
      </c>
      <c r="S318">
        <f ca="1"/>
        <v>149</v>
      </c>
      <c r="T318">
        <f ca="1"/>
        <v>26</v>
      </c>
    </row>
    <row r="319" spans="1:20">
      <c r="A319" s="18">
        <v>44935</v>
      </c>
      <c r="B319" s="19" t="s">
        <v>28</v>
      </c>
      <c r="C319" s="19" t="s">
        <v>68</v>
      </c>
      <c r="D319" s="19" t="s">
        <v>40</v>
      </c>
      <c r="E319" s="19">
        <v>149</v>
      </c>
      <c r="F319" s="19">
        <v>14</v>
      </c>
      <c r="G319" s="21" t="s">
        <v>36</v>
      </c>
      <c r="H319" s="20">
        <v>18994</v>
      </c>
      <c r="J319" t="str">
        <v>קרית שמונה</v>
      </c>
      <c r="K319" t="str">
        <v>פאוור פוינט</v>
      </c>
      <c r="L319" t="str">
        <v>מצגות</v>
      </c>
      <c r="M319">
        <v>175</v>
      </c>
      <c r="N319">
        <v>33</v>
      </c>
      <c r="P319" t="str">
        <f ca="1"/>
        <v>אילת</v>
      </c>
      <c r="Q319" t="str">
        <f ca="1"/>
        <v>פגפ</v>
      </c>
      <c r="R319" t="str">
        <f ca="1"/>
        <v>אבטחה</v>
      </c>
      <c r="S319">
        <f ca="1"/>
        <v>299</v>
      </c>
      <c r="T319">
        <f ca="1"/>
        <v>30</v>
      </c>
    </row>
    <row r="320" spans="1:20">
      <c r="A320" s="18">
        <v>44966</v>
      </c>
      <c r="B320" s="19" t="s">
        <v>28</v>
      </c>
      <c r="C320" s="19" t="s">
        <v>61</v>
      </c>
      <c r="D320" s="19" t="s">
        <v>45</v>
      </c>
      <c r="E320" s="19">
        <v>199</v>
      </c>
      <c r="F320" s="19">
        <v>30</v>
      </c>
      <c r="G320" s="21" t="s">
        <v>36</v>
      </c>
      <c r="H320" s="20">
        <v>2522</v>
      </c>
      <c r="J320" t="str">
        <v>קרית שמונה</v>
      </c>
      <c r="K320" t="str">
        <v>פאוור פוינט</v>
      </c>
      <c r="L320" t="str">
        <v>מצגות</v>
      </c>
      <c r="M320">
        <v>175</v>
      </c>
      <c r="N320">
        <v>13</v>
      </c>
      <c r="P320" t="str">
        <f ca="1"/>
        <v>אילת</v>
      </c>
      <c r="Q320" t="str">
        <f ca="1"/>
        <v>וורד</v>
      </c>
      <c r="R320" t="str">
        <f ca="1"/>
        <v>משרדית</v>
      </c>
      <c r="S320">
        <f ca="1"/>
        <v>350</v>
      </c>
      <c r="T320">
        <f ca="1"/>
        <v>3</v>
      </c>
    </row>
    <row r="321" spans="1:20">
      <c r="A321" s="18">
        <v>44966</v>
      </c>
      <c r="B321" s="19" t="s">
        <v>67</v>
      </c>
      <c r="C321" s="19" t="s">
        <v>61</v>
      </c>
      <c r="D321" s="19" t="s">
        <v>45</v>
      </c>
      <c r="E321" s="19">
        <v>199</v>
      </c>
      <c r="F321" s="19">
        <v>7</v>
      </c>
      <c r="G321" s="19" t="s">
        <v>74</v>
      </c>
      <c r="H321" s="20">
        <v>17184</v>
      </c>
      <c r="J321" t="str">
        <v>קרית שמונה</v>
      </c>
      <c r="K321" t="str">
        <v>פאוור פוינט</v>
      </c>
      <c r="L321" t="str">
        <v>מצגות</v>
      </c>
      <c r="M321">
        <v>175</v>
      </c>
      <c r="N321">
        <v>2</v>
      </c>
      <c r="P321" t="str">
        <f ca="1"/>
        <v>ראשון לציון</v>
      </c>
      <c r="Q321" t="str">
        <f ca="1"/>
        <v>סוליטיר</v>
      </c>
      <c r="R321" t="str">
        <f ca="1"/>
        <v>בידור</v>
      </c>
      <c r="S321">
        <f ca="1"/>
        <v>119</v>
      </c>
      <c r="T321">
        <f ca="1"/>
        <v>23</v>
      </c>
    </row>
    <row r="322" spans="1:20">
      <c r="A322" s="18">
        <v>44966</v>
      </c>
      <c r="B322" s="19" t="s">
        <v>28</v>
      </c>
      <c r="C322" s="19" t="s">
        <v>32</v>
      </c>
      <c r="D322" s="19" t="s">
        <v>33</v>
      </c>
      <c r="E322" s="19">
        <v>499</v>
      </c>
      <c r="F322" s="19">
        <v>32</v>
      </c>
      <c r="G322" s="19" t="s">
        <v>31</v>
      </c>
      <c r="H322" s="20">
        <v>10450</v>
      </c>
      <c r="J322" t="str">
        <v>קרית שמונה</v>
      </c>
      <c r="K322" t="str">
        <v>פאוור פוינט</v>
      </c>
      <c r="L322" t="str">
        <v>מצגות</v>
      </c>
      <c r="M322">
        <v>175</v>
      </c>
      <c r="N322">
        <v>1</v>
      </c>
      <c r="P322" t="str">
        <f ca="1"/>
        <v>מכבים</v>
      </c>
      <c r="Q322" t="str">
        <f ca="1"/>
        <v>בבילון</v>
      </c>
      <c r="R322" t="str">
        <f ca="1"/>
        <v>משרדית</v>
      </c>
      <c r="S322">
        <f ca="1"/>
        <v>99</v>
      </c>
      <c r="T322">
        <f ca="1"/>
        <v>23</v>
      </c>
    </row>
    <row r="323" spans="1:20">
      <c r="A323" s="18">
        <v>44966</v>
      </c>
      <c r="B323" s="19" t="s">
        <v>28</v>
      </c>
      <c r="C323" s="19" t="s">
        <v>35</v>
      </c>
      <c r="D323" s="19" t="s">
        <v>30</v>
      </c>
      <c r="E323" s="19">
        <v>599</v>
      </c>
      <c r="F323" s="19">
        <v>4</v>
      </c>
      <c r="G323" s="19" t="s">
        <v>31</v>
      </c>
      <c r="H323" s="20">
        <v>4130</v>
      </c>
      <c r="J323" t="str">
        <v>קרית שמונה</v>
      </c>
      <c r="K323" t="str">
        <v>אקסל</v>
      </c>
      <c r="L323" t="str">
        <v>משרדית</v>
      </c>
      <c r="M323">
        <v>555</v>
      </c>
      <c r="N323">
        <v>22</v>
      </c>
      <c r="P323" t="str">
        <f ca="1"/>
        <v>חיפה</v>
      </c>
      <c r="Q323" t="str">
        <f ca="1"/>
        <v>סוליטיר</v>
      </c>
      <c r="R323" t="str">
        <f ca="1"/>
        <v>בידור</v>
      </c>
      <c r="S323">
        <f ca="1"/>
        <v>119</v>
      </c>
      <c r="T323">
        <f ca="1"/>
        <v>12</v>
      </c>
    </row>
    <row r="324" spans="1:20">
      <c r="A324" s="18">
        <v>44966</v>
      </c>
      <c r="B324" s="19" t="s">
        <v>67</v>
      </c>
      <c r="C324" s="19" t="s">
        <v>47</v>
      </c>
      <c r="D324" s="19" t="s">
        <v>30</v>
      </c>
      <c r="E324" s="19">
        <v>99</v>
      </c>
      <c r="F324" s="19">
        <v>12</v>
      </c>
      <c r="G324" s="19" t="s">
        <v>78</v>
      </c>
      <c r="H324" s="20">
        <v>14482</v>
      </c>
      <c r="J324" t="str">
        <v>קרית שמונה</v>
      </c>
      <c r="K324" t="str">
        <v>אקסס</v>
      </c>
      <c r="L324" t="str">
        <v>משרדית</v>
      </c>
      <c r="M324">
        <v>95</v>
      </c>
      <c r="N324">
        <v>26</v>
      </c>
      <c r="P324" t="str">
        <f ca="1"/>
        <v>קרית שמונה</v>
      </c>
      <c r="Q324" t="str">
        <f ca="1"/>
        <v>פאוור פוינט</v>
      </c>
      <c r="R324" t="str">
        <f ca="1"/>
        <v>מצגות</v>
      </c>
      <c r="S324">
        <f ca="1"/>
        <v>175</v>
      </c>
      <c r="T324">
        <f ca="1"/>
        <v>2</v>
      </c>
    </row>
    <row r="325" spans="1:20">
      <c r="A325" s="18">
        <v>44994</v>
      </c>
      <c r="B325" s="19" t="s">
        <v>55</v>
      </c>
      <c r="C325" s="19" t="s">
        <v>39</v>
      </c>
      <c r="D325" s="19" t="s">
        <v>40</v>
      </c>
      <c r="E325" s="19">
        <v>299</v>
      </c>
      <c r="F325" s="19">
        <v>22</v>
      </c>
      <c r="G325" s="19" t="s">
        <v>59</v>
      </c>
      <c r="H325" s="20">
        <v>14364</v>
      </c>
      <c r="J325" t="str">
        <v>קרית שמונה</v>
      </c>
      <c r="K325" t="str">
        <v>אקסס</v>
      </c>
      <c r="L325" t="str">
        <v>משרדית</v>
      </c>
      <c r="M325">
        <v>95</v>
      </c>
      <c r="N325">
        <v>14</v>
      </c>
      <c r="P325" t="str">
        <f ca="1"/>
        <v>חיפה</v>
      </c>
      <c r="Q325" t="str">
        <f ca="1"/>
        <v>וורד</v>
      </c>
      <c r="R325" t="str">
        <f ca="1"/>
        <v>משרדית</v>
      </c>
      <c r="S325">
        <f ca="1"/>
        <v>350</v>
      </c>
      <c r="T325">
        <f ca="1"/>
        <v>32</v>
      </c>
    </row>
    <row r="326" spans="1:20">
      <c r="A326" s="18">
        <v>44994</v>
      </c>
      <c r="B326" s="19" t="s">
        <v>55</v>
      </c>
      <c r="C326" s="19" t="s">
        <v>65</v>
      </c>
      <c r="D326" s="19" t="s">
        <v>58</v>
      </c>
      <c r="E326" s="19">
        <v>399</v>
      </c>
      <c r="F326" s="19">
        <v>28</v>
      </c>
      <c r="G326" s="19" t="s">
        <v>59</v>
      </c>
      <c r="H326" s="20">
        <v>16452</v>
      </c>
      <c r="J326" t="str">
        <v>קרית שמונה</v>
      </c>
      <c r="K326" t="str">
        <v>אקסס</v>
      </c>
      <c r="L326" t="str">
        <v>משרדית</v>
      </c>
      <c r="M326">
        <v>95</v>
      </c>
      <c r="N326">
        <v>13</v>
      </c>
      <c r="P326" t="str">
        <f ca="1"/>
        <v>תל אביב</v>
      </c>
      <c r="Q326" t="str">
        <f ca="1"/>
        <v>נגן ריל פלייר 1</v>
      </c>
      <c r="R326" t="str">
        <f ca="1"/>
        <v>בידור</v>
      </c>
      <c r="S326">
        <f ca="1"/>
        <v>139</v>
      </c>
      <c r="T326">
        <f ca="1"/>
        <v>23</v>
      </c>
    </row>
    <row r="327" spans="1:20">
      <c r="A327" s="18">
        <v>44994</v>
      </c>
      <c r="B327" s="19" t="s">
        <v>24</v>
      </c>
      <c r="C327" s="19" t="s">
        <v>44</v>
      </c>
      <c r="D327" s="19" t="s">
        <v>45</v>
      </c>
      <c r="E327" s="19">
        <v>99</v>
      </c>
      <c r="F327" s="19">
        <v>32</v>
      </c>
      <c r="G327" s="19" t="s">
        <v>37</v>
      </c>
      <c r="H327" s="20">
        <v>18154</v>
      </c>
      <c r="J327" t="str">
        <v>קרית שמונה</v>
      </c>
      <c r="K327" t="str">
        <v>אקרובט</v>
      </c>
      <c r="L327" t="str">
        <v>משרדית</v>
      </c>
      <c r="M327">
        <v>599</v>
      </c>
      <c r="N327">
        <v>9</v>
      </c>
      <c r="P327" t="str">
        <f ca="1"/>
        <v>חיפה</v>
      </c>
      <c r="Q327" t="str">
        <f ca="1"/>
        <v>בבילון</v>
      </c>
      <c r="R327" t="str">
        <f ca="1"/>
        <v>משרדית</v>
      </c>
      <c r="S327">
        <f ca="1"/>
        <v>99</v>
      </c>
      <c r="T327">
        <f ca="1"/>
        <v>19</v>
      </c>
    </row>
    <row r="328" spans="1:20">
      <c r="A328" s="18">
        <v>45025</v>
      </c>
      <c r="B328" s="19" t="s">
        <v>24</v>
      </c>
      <c r="C328" s="19" t="s">
        <v>75</v>
      </c>
      <c r="D328" s="19" t="s">
        <v>30</v>
      </c>
      <c r="E328" s="19">
        <v>350</v>
      </c>
      <c r="F328" s="19">
        <v>7</v>
      </c>
      <c r="G328" s="19" t="s">
        <v>37</v>
      </c>
      <c r="H328" s="20">
        <v>15061</v>
      </c>
      <c r="J328" t="str">
        <v>קרית שמונה</v>
      </c>
      <c r="K328" t="str">
        <v>אקרובט</v>
      </c>
      <c r="L328" t="str">
        <v>משרדית</v>
      </c>
      <c r="M328">
        <v>599</v>
      </c>
      <c r="N328">
        <v>14</v>
      </c>
      <c r="P328" t="str">
        <f ca="1"/>
        <v>חיפה</v>
      </c>
      <c r="Q328" t="str">
        <f ca="1"/>
        <v>פרו-פורט</v>
      </c>
      <c r="R328" t="str">
        <f ca="1"/>
        <v>אבטחה</v>
      </c>
      <c r="S328">
        <f ca="1"/>
        <v>149</v>
      </c>
      <c r="T328">
        <f ca="1"/>
        <v>26</v>
      </c>
    </row>
    <row r="329" spans="1:20">
      <c r="A329" s="18">
        <v>45025</v>
      </c>
      <c r="B329" s="19" t="s">
        <v>81</v>
      </c>
      <c r="C329" s="19" t="s">
        <v>50</v>
      </c>
      <c r="D329" s="19" t="s">
        <v>51</v>
      </c>
      <c r="E329" s="19">
        <v>139</v>
      </c>
      <c r="F329" s="19">
        <v>24</v>
      </c>
      <c r="G329" s="19" t="s">
        <v>83</v>
      </c>
      <c r="H329" s="20">
        <v>8883</v>
      </c>
      <c r="J329" t="str">
        <v>קרית שמונה</v>
      </c>
      <c r="K329" t="str">
        <v>בבילון</v>
      </c>
      <c r="L329" t="str">
        <v>משרדית</v>
      </c>
      <c r="M329">
        <v>99</v>
      </c>
      <c r="N329">
        <v>17</v>
      </c>
      <c r="P329" t="str">
        <f ca="1"/>
        <v>חיפה</v>
      </c>
      <c r="Q329" t="str">
        <f ca="1"/>
        <v>סוליטיר</v>
      </c>
      <c r="R329" t="str">
        <f ca="1"/>
        <v>בידור</v>
      </c>
      <c r="S329">
        <f ca="1"/>
        <v>119</v>
      </c>
      <c r="T329">
        <f ca="1"/>
        <v>32</v>
      </c>
    </row>
    <row r="330" spans="1:20">
      <c r="A330" s="18">
        <v>45055</v>
      </c>
      <c r="B330" s="19" t="s">
        <v>55</v>
      </c>
      <c r="C330" s="19" t="s">
        <v>65</v>
      </c>
      <c r="D330" s="19" t="s">
        <v>58</v>
      </c>
      <c r="E330" s="19">
        <v>399</v>
      </c>
      <c r="F330" s="19">
        <v>27</v>
      </c>
      <c r="G330" s="19" t="s">
        <v>66</v>
      </c>
      <c r="H330" s="20">
        <v>16965</v>
      </c>
      <c r="J330" t="str">
        <v>קרית שמונה</v>
      </c>
      <c r="K330" t="str">
        <v>בבילון</v>
      </c>
      <c r="L330" t="str">
        <v>משרדית</v>
      </c>
      <c r="M330">
        <v>99</v>
      </c>
      <c r="N330">
        <v>1</v>
      </c>
      <c r="P330" t="str">
        <f ca="1"/>
        <v>מכבים</v>
      </c>
      <c r="Q330" t="str">
        <f ca="1"/>
        <v>פאוור פוינט</v>
      </c>
      <c r="R330" t="str">
        <f ca="1"/>
        <v>מצגות</v>
      </c>
      <c r="S330">
        <f ca="1"/>
        <v>175</v>
      </c>
      <c r="T330">
        <f ca="1"/>
        <v>20</v>
      </c>
    </row>
    <row r="331" spans="1:20">
      <c r="A331" s="18">
        <v>45055</v>
      </c>
      <c r="B331" s="19" t="s">
        <v>81</v>
      </c>
      <c r="C331" s="19" t="s">
        <v>57</v>
      </c>
      <c r="D331" s="19" t="s">
        <v>58</v>
      </c>
      <c r="E331" s="19">
        <v>175</v>
      </c>
      <c r="F331" s="19">
        <v>13</v>
      </c>
      <c r="G331" s="19" t="s">
        <v>82</v>
      </c>
      <c r="H331" s="20">
        <v>2537</v>
      </c>
      <c r="J331" t="str">
        <v>קרית שמונה</v>
      </c>
      <c r="K331" t="str">
        <v>בבילון</v>
      </c>
      <c r="L331" t="str">
        <v>משרדית</v>
      </c>
      <c r="M331">
        <v>99</v>
      </c>
      <c r="N331">
        <v>25</v>
      </c>
      <c r="P331" t="str">
        <f ca="1"/>
        <v>אילת</v>
      </c>
      <c r="Q331" t="str">
        <f ca="1"/>
        <v>וורד</v>
      </c>
      <c r="R331" t="str">
        <f ca="1"/>
        <v>משרדית</v>
      </c>
      <c r="S331">
        <f ca="1"/>
        <v>350</v>
      </c>
      <c r="T331">
        <f ca="1"/>
        <v>10</v>
      </c>
    </row>
    <row r="332" spans="1:20">
      <c r="A332" s="18">
        <v>45055</v>
      </c>
      <c r="B332" s="19" t="s">
        <v>38</v>
      </c>
      <c r="C332" s="19" t="s">
        <v>32</v>
      </c>
      <c r="D332" s="19" t="s">
        <v>33</v>
      </c>
      <c r="E332" s="19">
        <v>499</v>
      </c>
      <c r="F332" s="19">
        <v>19</v>
      </c>
      <c r="G332" s="19" t="s">
        <v>60</v>
      </c>
      <c r="H332" s="20">
        <v>14636</v>
      </c>
      <c r="J332" t="str">
        <v>קרית שמונה</v>
      </c>
      <c r="K332" t="str">
        <v>וורד</v>
      </c>
      <c r="L332" t="str">
        <v>משרדית</v>
      </c>
      <c r="M332">
        <v>350</v>
      </c>
      <c r="N332">
        <v>8</v>
      </c>
      <c r="P332" t="str">
        <f ca="1"/>
        <v>ירושלים</v>
      </c>
      <c r="Q332" t="str">
        <f ca="1"/>
        <v>בבילון</v>
      </c>
      <c r="R332" t="str">
        <f ca="1"/>
        <v>משרדית</v>
      </c>
      <c r="S332">
        <f ca="1"/>
        <v>99</v>
      </c>
      <c r="T332">
        <f ca="1"/>
        <v>26</v>
      </c>
    </row>
    <row r="333" spans="1:20">
      <c r="A333" s="18">
        <v>45055</v>
      </c>
      <c r="B333" s="19" t="s">
        <v>55</v>
      </c>
      <c r="C333" s="19" t="s">
        <v>68</v>
      </c>
      <c r="D333" s="19" t="s">
        <v>40</v>
      </c>
      <c r="E333" s="19">
        <v>149</v>
      </c>
      <c r="F333" s="19">
        <v>19</v>
      </c>
      <c r="G333" s="19" t="s">
        <v>59</v>
      </c>
      <c r="H333" s="20">
        <v>1034</v>
      </c>
      <c r="J333" t="str">
        <v>קרית שמונה</v>
      </c>
      <c r="K333" t="str">
        <v>וורד</v>
      </c>
      <c r="L333" t="str">
        <v>משרדית</v>
      </c>
      <c r="M333">
        <v>350</v>
      </c>
      <c r="N333">
        <v>22</v>
      </c>
      <c r="P333" t="str">
        <f ca="1"/>
        <v>תל אביב</v>
      </c>
      <c r="Q333" t="str">
        <f ca="1"/>
        <v>יודורה</v>
      </c>
      <c r="R333" t="str">
        <f ca="1"/>
        <v>משרדית</v>
      </c>
      <c r="S333">
        <f ca="1"/>
        <v>59</v>
      </c>
      <c r="T333">
        <f ca="1"/>
        <v>21</v>
      </c>
    </row>
    <row r="334" spans="1:20">
      <c r="A334" s="18">
        <v>45086</v>
      </c>
      <c r="B334" s="19" t="s">
        <v>67</v>
      </c>
      <c r="C334" s="19" t="s">
        <v>35</v>
      </c>
      <c r="D334" s="19" t="s">
        <v>30</v>
      </c>
      <c r="E334" s="19">
        <v>599</v>
      </c>
      <c r="F334" s="19">
        <v>15</v>
      </c>
      <c r="G334" s="19" t="s">
        <v>78</v>
      </c>
      <c r="H334" s="20">
        <v>12290</v>
      </c>
      <c r="J334" t="str">
        <v>קרית שמונה</v>
      </c>
      <c r="K334" t="str">
        <v>יודורה</v>
      </c>
      <c r="L334" t="str">
        <v>משרדית</v>
      </c>
      <c r="M334">
        <v>59</v>
      </c>
      <c r="N334">
        <v>28</v>
      </c>
      <c r="P334" t="str">
        <f ca="1"/>
        <v>תל אביב</v>
      </c>
      <c r="Q334" t="str">
        <f ca="1"/>
        <v>יודורה</v>
      </c>
      <c r="R334" t="str">
        <f ca="1"/>
        <v>משרדית</v>
      </c>
      <c r="S334">
        <f ca="1"/>
        <v>59</v>
      </c>
      <c r="T334">
        <f ca="1"/>
        <v>21</v>
      </c>
    </row>
    <row r="335" spans="1:20">
      <c r="A335" s="18">
        <v>45116</v>
      </c>
      <c r="B335" s="19" t="s">
        <v>38</v>
      </c>
      <c r="C335" s="19" t="s">
        <v>25</v>
      </c>
      <c r="D335" s="19" t="s">
        <v>26</v>
      </c>
      <c r="E335" s="19">
        <v>280</v>
      </c>
      <c r="F335" s="19">
        <v>30</v>
      </c>
      <c r="G335" s="19" t="s">
        <v>63</v>
      </c>
      <c r="H335" s="20">
        <v>1890</v>
      </c>
      <c r="J335" t="str">
        <v>קרית שמונה</v>
      </c>
      <c r="K335" t="str">
        <v>פנל תמיכת החלטות</v>
      </c>
      <c r="L335" t="str">
        <v>משרדית</v>
      </c>
      <c r="M335">
        <v>899</v>
      </c>
      <c r="N335">
        <v>24</v>
      </c>
      <c r="P335" t="str">
        <f ca="1"/>
        <v>ראשון לציון</v>
      </c>
      <c r="Q335" t="str">
        <f ca="1"/>
        <v>זיפ-יט</v>
      </c>
      <c r="R335" t="str">
        <f ca="1"/>
        <v>דחיסה</v>
      </c>
      <c r="S335">
        <f ca="1"/>
        <v>99</v>
      </c>
      <c r="T335">
        <f ca="1"/>
        <v>21</v>
      </c>
    </row>
    <row r="336" spans="1:20">
      <c r="A336" s="18">
        <v>45116</v>
      </c>
      <c r="B336" s="19" t="s">
        <v>28</v>
      </c>
      <c r="C336" s="19" t="s">
        <v>75</v>
      </c>
      <c r="D336" s="19" t="s">
        <v>30</v>
      </c>
      <c r="E336" s="19">
        <v>350</v>
      </c>
      <c r="F336" s="19">
        <v>7</v>
      </c>
      <c r="G336" s="19" t="s">
        <v>34</v>
      </c>
      <c r="H336" s="20">
        <v>13489</v>
      </c>
      <c r="J336" t="str">
        <v>קרית שמונה</v>
      </c>
      <c r="K336" t="str">
        <v>קורל דרו</v>
      </c>
      <c r="L336" t="str">
        <v>שרטוט</v>
      </c>
      <c r="M336">
        <v>280</v>
      </c>
      <c r="N336">
        <v>25</v>
      </c>
      <c r="P336" t="str">
        <f ca="1"/>
        <v>ירושלים</v>
      </c>
      <c r="Q336" t="str">
        <f ca="1"/>
        <v>וורד</v>
      </c>
      <c r="R336" t="str">
        <f ca="1"/>
        <v>משרדית</v>
      </c>
      <c r="S336">
        <f ca="1"/>
        <v>350</v>
      </c>
      <c r="T336">
        <f ca="1"/>
        <v>20</v>
      </c>
    </row>
    <row r="337" spans="1:20">
      <c r="A337" s="18">
        <v>45147</v>
      </c>
      <c r="B337" s="19" t="s">
        <v>49</v>
      </c>
      <c r="C337" s="19" t="s">
        <v>65</v>
      </c>
      <c r="D337" s="19" t="s">
        <v>58</v>
      </c>
      <c r="E337" s="19">
        <v>399</v>
      </c>
      <c r="F337" s="19">
        <v>1</v>
      </c>
      <c r="G337" s="19" t="s">
        <v>54</v>
      </c>
      <c r="H337" s="20">
        <v>10547</v>
      </c>
      <c r="J337" t="str">
        <v>ראשון לציון</v>
      </c>
      <c r="K337" t="str">
        <v>פגפ</v>
      </c>
      <c r="L337" t="str">
        <v>אבטחה</v>
      </c>
      <c r="M337">
        <v>299</v>
      </c>
      <c r="N337">
        <v>15</v>
      </c>
      <c r="P337" t="str">
        <f ca="1"/>
        <v>חיפה</v>
      </c>
      <c r="Q337" t="str">
        <f ca="1"/>
        <v>פרו-פורט</v>
      </c>
      <c r="R337" t="str">
        <f ca="1"/>
        <v>אבטחה</v>
      </c>
      <c r="S337">
        <f ca="1"/>
        <v>149</v>
      </c>
      <c r="T337">
        <f ca="1"/>
        <v>16</v>
      </c>
    </row>
    <row r="338" spans="1:20">
      <c r="A338" s="18">
        <v>45178</v>
      </c>
      <c r="B338" s="19" t="s">
        <v>55</v>
      </c>
      <c r="C338" s="19" t="s">
        <v>44</v>
      </c>
      <c r="D338" s="19" t="s">
        <v>45</v>
      </c>
      <c r="E338" s="19">
        <v>99</v>
      </c>
      <c r="F338" s="19">
        <v>6</v>
      </c>
      <c r="G338" s="19" t="s">
        <v>56</v>
      </c>
      <c r="H338" s="20">
        <v>4021</v>
      </c>
      <c r="J338" t="str">
        <v>ראשון לציון</v>
      </c>
      <c r="K338" t="str">
        <v>פגפ</v>
      </c>
      <c r="L338" t="str">
        <v>אבטחה</v>
      </c>
      <c r="M338">
        <v>299</v>
      </c>
      <c r="N338">
        <v>22</v>
      </c>
      <c r="P338" t="str">
        <f ca="1"/>
        <v>תל אביב</v>
      </c>
      <c r="Q338" t="str">
        <f ca="1"/>
        <v>פרו-פורט</v>
      </c>
      <c r="R338" t="str">
        <f ca="1"/>
        <v>אבטחה</v>
      </c>
      <c r="S338">
        <f ca="1"/>
        <v>149</v>
      </c>
      <c r="T338">
        <f ca="1"/>
        <v>8</v>
      </c>
    </row>
    <row r="339" spans="1:20">
      <c r="A339" s="18">
        <v>45178</v>
      </c>
      <c r="B339" s="19" t="s">
        <v>24</v>
      </c>
      <c r="C339" s="19" t="s">
        <v>50</v>
      </c>
      <c r="D339" s="19" t="s">
        <v>51</v>
      </c>
      <c r="E339" s="19">
        <v>139</v>
      </c>
      <c r="F339" s="19">
        <v>33</v>
      </c>
      <c r="G339" s="19" t="s">
        <v>76</v>
      </c>
      <c r="H339" s="20">
        <v>2588</v>
      </c>
      <c r="J339" t="str">
        <v>ראשון לציון</v>
      </c>
      <c r="K339" t="str">
        <v>פגפ</v>
      </c>
      <c r="L339" t="str">
        <v>אבטחה</v>
      </c>
      <c r="M339">
        <v>299</v>
      </c>
      <c r="N339">
        <v>17</v>
      </c>
      <c r="P339" t="str">
        <f ca="1"/>
        <v>תל אביב</v>
      </c>
      <c r="Q339" t="str">
        <f ca="1"/>
        <v>איריס</v>
      </c>
      <c r="R339" t="str">
        <f ca="1"/>
        <v>אנטיוירוס</v>
      </c>
      <c r="S339">
        <f ca="1"/>
        <v>499</v>
      </c>
      <c r="T339">
        <f ca="1"/>
        <v>12</v>
      </c>
    </row>
    <row r="340" spans="1:20">
      <c r="A340" s="18">
        <v>45178</v>
      </c>
      <c r="B340" s="19" t="s">
        <v>38</v>
      </c>
      <c r="C340" s="19" t="s">
        <v>42</v>
      </c>
      <c r="D340" s="19" t="s">
        <v>30</v>
      </c>
      <c r="E340" s="19">
        <v>59</v>
      </c>
      <c r="F340" s="19">
        <v>25</v>
      </c>
      <c r="G340" s="19" t="s">
        <v>60</v>
      </c>
      <c r="H340" s="20">
        <v>2753</v>
      </c>
      <c r="J340" t="str">
        <v>ראשון לציון</v>
      </c>
      <c r="K340" t="str">
        <v>פגפ</v>
      </c>
      <c r="L340" t="str">
        <v>אבטחה</v>
      </c>
      <c r="M340">
        <v>299</v>
      </c>
      <c r="N340">
        <v>1</v>
      </c>
      <c r="P340" t="str">
        <f ca="1"/>
        <v>תל אביב</v>
      </c>
      <c r="Q340" t="str">
        <f ca="1"/>
        <v>איריס</v>
      </c>
      <c r="R340" t="str">
        <f ca="1"/>
        <v>אנטיוירוס</v>
      </c>
      <c r="S340">
        <f ca="1"/>
        <v>499</v>
      </c>
      <c r="T340">
        <f ca="1"/>
        <v>12</v>
      </c>
    </row>
    <row r="341" spans="1:20">
      <c r="A341" s="18">
        <v>45178</v>
      </c>
      <c r="B341" s="19" t="s">
        <v>24</v>
      </c>
      <c r="C341" s="19" t="s">
        <v>57</v>
      </c>
      <c r="D341" s="19" t="s">
        <v>58</v>
      </c>
      <c r="E341" s="19">
        <v>175</v>
      </c>
      <c r="F341" s="19">
        <v>11</v>
      </c>
      <c r="G341" s="19" t="s">
        <v>37</v>
      </c>
      <c r="H341" s="20">
        <v>6304</v>
      </c>
      <c r="J341" t="str">
        <v>ראשון לציון</v>
      </c>
      <c r="K341" t="str">
        <v>פגפ</v>
      </c>
      <c r="L341" t="str">
        <v>אבטחה</v>
      </c>
      <c r="M341">
        <v>299</v>
      </c>
      <c r="N341">
        <v>28</v>
      </c>
      <c r="P341" t="str">
        <f ca="1"/>
        <v>חיפה</v>
      </c>
      <c r="Q341" t="str">
        <f ca="1"/>
        <v>וורד</v>
      </c>
      <c r="R341" t="str">
        <f ca="1"/>
        <v>משרדית</v>
      </c>
      <c r="S341">
        <f ca="1"/>
        <v>350</v>
      </c>
      <c r="T341">
        <f ca="1"/>
        <v>10</v>
      </c>
    </row>
    <row r="342" spans="1:20">
      <c r="A342" s="18">
        <v>45208</v>
      </c>
      <c r="B342" s="19" t="s">
        <v>67</v>
      </c>
      <c r="C342" s="19" t="s">
        <v>68</v>
      </c>
      <c r="D342" s="19" t="s">
        <v>40</v>
      </c>
      <c r="E342" s="19">
        <v>149</v>
      </c>
      <c r="F342" s="19">
        <v>25</v>
      </c>
      <c r="G342" s="19" t="s">
        <v>78</v>
      </c>
      <c r="H342" s="20">
        <v>8681</v>
      </c>
      <c r="J342" t="str">
        <v>ראשון לציון</v>
      </c>
      <c r="K342" t="str">
        <v>פגפ</v>
      </c>
      <c r="L342" t="str">
        <v>אבטחה</v>
      </c>
      <c r="M342">
        <v>299</v>
      </c>
      <c r="N342">
        <v>6</v>
      </c>
      <c r="P342" t="str">
        <f ca="1"/>
        <v>ירושלים</v>
      </c>
      <c r="Q342" t="str">
        <f ca="1"/>
        <v>קורל דרו</v>
      </c>
      <c r="R342" t="str">
        <f ca="1"/>
        <v>שרטוט</v>
      </c>
      <c r="S342">
        <f ca="1"/>
        <v>280</v>
      </c>
      <c r="T342">
        <f ca="1"/>
        <v>26</v>
      </c>
    </row>
    <row r="343" spans="1:20">
      <c r="A343" s="18">
        <v>45239</v>
      </c>
      <c r="B343" s="19" t="s">
        <v>28</v>
      </c>
      <c r="C343" s="19" t="s">
        <v>62</v>
      </c>
      <c r="D343" s="19" t="s">
        <v>33</v>
      </c>
      <c r="E343" s="19">
        <v>629</v>
      </c>
      <c r="F343" s="19">
        <v>27</v>
      </c>
      <c r="G343" s="19" t="s">
        <v>43</v>
      </c>
      <c r="H343" s="20">
        <v>12388</v>
      </c>
      <c r="J343" t="str">
        <v>ראשון לציון</v>
      </c>
      <c r="K343" t="str">
        <v>פיירוול 1</v>
      </c>
      <c r="L343" t="str">
        <v>אבטחה</v>
      </c>
      <c r="M343">
        <v>229</v>
      </c>
      <c r="N343">
        <v>1</v>
      </c>
      <c r="P343" t="str">
        <f ca="1"/>
        <v>חיפה</v>
      </c>
      <c r="Q343" t="str">
        <f ca="1"/>
        <v>נגן ריל פלייר 1</v>
      </c>
      <c r="R343" t="str">
        <f ca="1"/>
        <v>בידור</v>
      </c>
      <c r="S343">
        <f ca="1"/>
        <v>139</v>
      </c>
      <c r="T343">
        <f ca="1"/>
        <v>3</v>
      </c>
    </row>
    <row r="344" spans="1:20">
      <c r="A344" s="18">
        <v>45239</v>
      </c>
      <c r="B344" s="19" t="s">
        <v>28</v>
      </c>
      <c r="C344" s="19" t="s">
        <v>42</v>
      </c>
      <c r="D344" s="19" t="s">
        <v>30</v>
      </c>
      <c r="E344" s="19">
        <v>59</v>
      </c>
      <c r="F344" s="19">
        <v>33</v>
      </c>
      <c r="G344" s="19" t="s">
        <v>34</v>
      </c>
      <c r="H344" s="20">
        <v>4554</v>
      </c>
      <c r="J344" t="str">
        <v>ראשון לציון</v>
      </c>
      <c r="K344" t="str">
        <v>פיירוול 1</v>
      </c>
      <c r="L344" t="str">
        <v>אבטחה</v>
      </c>
      <c r="M344">
        <v>229</v>
      </c>
      <c r="N344">
        <v>15</v>
      </c>
      <c r="P344" t="str">
        <f ca="1"/>
        <v>חיפה</v>
      </c>
      <c r="Q344" t="str">
        <f ca="1"/>
        <v>זיפ-יט</v>
      </c>
      <c r="R344" t="str">
        <f ca="1"/>
        <v>דחיסה</v>
      </c>
      <c r="S344">
        <f ca="1"/>
        <v>99</v>
      </c>
      <c r="T344">
        <f ca="1"/>
        <v>5</v>
      </c>
    </row>
    <row r="345" spans="1:20">
      <c r="A345" s="18">
        <v>45239</v>
      </c>
      <c r="B345" s="19" t="s">
        <v>49</v>
      </c>
      <c r="C345" s="19" t="s">
        <v>25</v>
      </c>
      <c r="D345" s="19" t="s">
        <v>26</v>
      </c>
      <c r="E345" s="19">
        <v>280</v>
      </c>
      <c r="F345" s="19">
        <v>30</v>
      </c>
      <c r="G345" s="19" t="s">
        <v>70</v>
      </c>
      <c r="H345" s="20">
        <v>19964</v>
      </c>
      <c r="J345" t="str">
        <v>ראשון לציון</v>
      </c>
      <c r="K345" t="str">
        <v>פיירוול 1</v>
      </c>
      <c r="L345" t="str">
        <v>אבטחה</v>
      </c>
      <c r="M345">
        <v>229</v>
      </c>
      <c r="N345">
        <v>29</v>
      </c>
      <c r="P345" t="str">
        <f ca="1"/>
        <v>חיפה</v>
      </c>
      <c r="Q345" t="str">
        <f ca="1"/>
        <v>נגן ריל פלייר 1</v>
      </c>
      <c r="R345" t="str">
        <f ca="1"/>
        <v>בידור</v>
      </c>
      <c r="S345">
        <f ca="1"/>
        <v>139</v>
      </c>
      <c r="T345">
        <f ca="1"/>
        <v>31</v>
      </c>
    </row>
    <row r="346" spans="1:20">
      <c r="A346" s="18">
        <v>45269</v>
      </c>
      <c r="B346" s="19" t="s">
        <v>55</v>
      </c>
      <c r="C346" s="19" t="s">
        <v>39</v>
      </c>
      <c r="D346" s="19" t="s">
        <v>40</v>
      </c>
      <c r="E346" s="19">
        <v>299</v>
      </c>
      <c r="F346" s="19">
        <v>16</v>
      </c>
      <c r="G346" s="19" t="s">
        <v>56</v>
      </c>
      <c r="H346" s="20">
        <v>10881</v>
      </c>
      <c r="J346" t="str">
        <v>ראשון לציון</v>
      </c>
      <c r="K346" t="str">
        <v>פיירוול 1</v>
      </c>
      <c r="L346" t="str">
        <v>אבטחה</v>
      </c>
      <c r="M346">
        <v>229</v>
      </c>
      <c r="N346">
        <v>23</v>
      </c>
      <c r="P346" t="str">
        <f ca="1"/>
        <v>תל אביב</v>
      </c>
      <c r="Q346" t="str">
        <f ca="1"/>
        <v>אקרובט</v>
      </c>
      <c r="R346" t="str">
        <f ca="1"/>
        <v>משרדית</v>
      </c>
      <c r="S346">
        <f ca="1"/>
        <v>599</v>
      </c>
      <c r="T346">
        <f ca="1"/>
        <v>19</v>
      </c>
    </row>
    <row r="347" spans="1:20">
      <c r="A347" s="18" t="s">
        <v>785</v>
      </c>
      <c r="B347" s="19" t="s">
        <v>28</v>
      </c>
      <c r="C347" s="19" t="s">
        <v>71</v>
      </c>
      <c r="D347" s="19" t="s">
        <v>30</v>
      </c>
      <c r="E347" s="19">
        <v>555</v>
      </c>
      <c r="F347" s="19">
        <v>26</v>
      </c>
      <c r="G347" s="19" t="s">
        <v>31</v>
      </c>
      <c r="H347" s="20">
        <v>1496</v>
      </c>
      <c r="J347" t="str">
        <v>ראשון לציון</v>
      </c>
      <c r="K347" t="str">
        <v>פיירוול 1</v>
      </c>
      <c r="L347" t="str">
        <v>אבטחה</v>
      </c>
      <c r="M347">
        <v>229</v>
      </c>
      <c r="N347">
        <v>17</v>
      </c>
      <c r="P347" t="str">
        <f ca="1"/>
        <v>מכבים</v>
      </c>
      <c r="Q347" t="str">
        <f ca="1"/>
        <v>קורל דרו</v>
      </c>
      <c r="R347" t="str">
        <f ca="1"/>
        <v>שרטוט</v>
      </c>
      <c r="S347">
        <f ca="1"/>
        <v>280</v>
      </c>
      <c r="T347">
        <f ca="1"/>
        <v>8</v>
      </c>
    </row>
    <row r="348" spans="1:20">
      <c r="A348" s="18" t="s">
        <v>785</v>
      </c>
      <c r="B348" s="19" t="s">
        <v>55</v>
      </c>
      <c r="C348" s="19" t="s">
        <v>85</v>
      </c>
      <c r="D348" s="19" t="s">
        <v>51</v>
      </c>
      <c r="E348" s="19">
        <v>75</v>
      </c>
      <c r="F348" s="19">
        <v>32</v>
      </c>
      <c r="G348" s="19" t="s">
        <v>80</v>
      </c>
      <c r="H348" s="20">
        <v>10992</v>
      </c>
      <c r="J348" t="str">
        <v>ראשון לציון</v>
      </c>
      <c r="K348" t="str">
        <v>פיירוול 1</v>
      </c>
      <c r="L348" t="str">
        <v>אבטחה</v>
      </c>
      <c r="M348">
        <v>229</v>
      </c>
      <c r="N348">
        <v>5</v>
      </c>
      <c r="P348" t="str">
        <f ca="1"/>
        <v>מכבים</v>
      </c>
      <c r="Q348" t="str">
        <f ca="1"/>
        <v>יודורה</v>
      </c>
      <c r="R348" t="str">
        <f ca="1"/>
        <v>משרדית</v>
      </c>
      <c r="S348">
        <f ca="1"/>
        <v>59</v>
      </c>
      <c r="T348">
        <f ca="1"/>
        <v>26</v>
      </c>
    </row>
    <row r="349" spans="1:20">
      <c r="A349" s="18" t="s">
        <v>786</v>
      </c>
      <c r="B349" s="19" t="s">
        <v>49</v>
      </c>
      <c r="C349" s="19" t="s">
        <v>73</v>
      </c>
      <c r="D349" s="19" t="s">
        <v>51</v>
      </c>
      <c r="E349" s="19">
        <v>119</v>
      </c>
      <c r="F349" s="19">
        <v>33</v>
      </c>
      <c r="G349" s="19" t="s">
        <v>52</v>
      </c>
      <c r="H349" s="20">
        <v>8803</v>
      </c>
      <c r="J349" t="str">
        <v>ראשון לציון</v>
      </c>
      <c r="K349" t="str">
        <v>פרו-פורט</v>
      </c>
      <c r="L349" t="str">
        <v>אבטחה</v>
      </c>
      <c r="M349">
        <v>149</v>
      </c>
      <c r="N349">
        <v>7</v>
      </c>
      <c r="P349" t="str">
        <f ca="1"/>
        <v>אילת</v>
      </c>
      <c r="Q349" t="str">
        <f ca="1"/>
        <v>נגן ריל פלייר 1</v>
      </c>
      <c r="R349" t="str">
        <f ca="1"/>
        <v>בידור</v>
      </c>
      <c r="S349">
        <f ca="1"/>
        <v>139</v>
      </c>
      <c r="T349">
        <f ca="1"/>
        <v>6</v>
      </c>
    </row>
    <row r="350" spans="1:20">
      <c r="A350" s="18" t="s">
        <v>787</v>
      </c>
      <c r="B350" s="19" t="s">
        <v>67</v>
      </c>
      <c r="C350" s="19" t="s">
        <v>44</v>
      </c>
      <c r="D350" s="19" t="s">
        <v>45</v>
      </c>
      <c r="E350" s="19">
        <v>99</v>
      </c>
      <c r="F350" s="19">
        <v>28</v>
      </c>
      <c r="G350" s="19" t="s">
        <v>78</v>
      </c>
      <c r="H350" s="20">
        <v>16339</v>
      </c>
      <c r="J350" t="str">
        <v>ראשון לציון</v>
      </c>
      <c r="K350" t="str">
        <v>פרו-פורט</v>
      </c>
      <c r="L350" t="str">
        <v>אבטחה</v>
      </c>
      <c r="M350">
        <v>149</v>
      </c>
      <c r="N350">
        <v>31</v>
      </c>
      <c r="P350" t="str">
        <f ca="1"/>
        <v>מכבים</v>
      </c>
      <c r="Q350" t="str">
        <f ca="1"/>
        <v>פאוור פוינט</v>
      </c>
      <c r="R350" t="str">
        <f ca="1"/>
        <v>מצגות</v>
      </c>
      <c r="S350">
        <f ca="1"/>
        <v>175</v>
      </c>
      <c r="T350">
        <f ca="1"/>
        <v>23</v>
      </c>
    </row>
    <row r="351" spans="1:20">
      <c r="A351" s="18" t="s">
        <v>788</v>
      </c>
      <c r="B351" s="19" t="s">
        <v>49</v>
      </c>
      <c r="C351" s="19" t="s">
        <v>44</v>
      </c>
      <c r="D351" s="19" t="s">
        <v>45</v>
      </c>
      <c r="E351" s="19">
        <v>99</v>
      </c>
      <c r="F351" s="19">
        <v>7</v>
      </c>
      <c r="G351" s="19" t="s">
        <v>70</v>
      </c>
      <c r="H351" s="20">
        <v>5548</v>
      </c>
      <c r="J351" t="str">
        <v>ראשון לציון</v>
      </c>
      <c r="K351" t="str">
        <v>איריס</v>
      </c>
      <c r="L351" t="str">
        <v>אנטיוירוס</v>
      </c>
      <c r="M351">
        <v>499</v>
      </c>
      <c r="N351">
        <v>20</v>
      </c>
      <c r="P351" t="str">
        <f ca="1"/>
        <v>ירושלים</v>
      </c>
      <c r="Q351" t="str">
        <f ca="1"/>
        <v>אקרובט</v>
      </c>
      <c r="R351" t="str">
        <f ca="1"/>
        <v>משרדית</v>
      </c>
      <c r="S351">
        <f ca="1"/>
        <v>599</v>
      </c>
      <c r="T351">
        <f ca="1"/>
        <v>23</v>
      </c>
    </row>
    <row r="352" spans="1:20">
      <c r="A352" s="18" t="s">
        <v>788</v>
      </c>
      <c r="B352" s="19" t="s">
        <v>28</v>
      </c>
      <c r="C352" s="19" t="s">
        <v>44</v>
      </c>
      <c r="D352" s="19" t="s">
        <v>45</v>
      </c>
      <c r="E352" s="19">
        <v>99</v>
      </c>
      <c r="F352" s="19">
        <v>18</v>
      </c>
      <c r="G352" s="19" t="s">
        <v>43</v>
      </c>
      <c r="H352" s="20">
        <v>17280</v>
      </c>
      <c r="J352" t="str">
        <v>ראשון לציון</v>
      </c>
      <c r="K352" t="str">
        <v>איריס</v>
      </c>
      <c r="L352" t="str">
        <v>אנטיוירוס</v>
      </c>
      <c r="M352">
        <v>499</v>
      </c>
      <c r="N352">
        <v>19</v>
      </c>
      <c r="P352" t="str">
        <f ca="1"/>
        <v>מכבים</v>
      </c>
      <c r="Q352" t="str">
        <f ca="1"/>
        <v>פאוור פוינט</v>
      </c>
      <c r="R352" t="str">
        <f ca="1"/>
        <v>מצגות</v>
      </c>
      <c r="S352">
        <f ca="1"/>
        <v>175</v>
      </c>
      <c r="T352">
        <f ca="1"/>
        <v>11</v>
      </c>
    </row>
    <row r="353" spans="1:20">
      <c r="A353" s="18" t="s">
        <v>788</v>
      </c>
      <c r="B353" s="19" t="s">
        <v>67</v>
      </c>
      <c r="C353" s="19" t="s">
        <v>29</v>
      </c>
      <c r="D353" s="19" t="s">
        <v>30</v>
      </c>
      <c r="E353" s="19">
        <v>899</v>
      </c>
      <c r="F353" s="19">
        <v>17</v>
      </c>
      <c r="G353" s="19" t="s">
        <v>78</v>
      </c>
      <c r="H353" s="20">
        <v>10764</v>
      </c>
      <c r="J353" t="str">
        <v>ראשון לציון</v>
      </c>
      <c r="K353" t="str">
        <v>איריס</v>
      </c>
      <c r="L353" t="str">
        <v>אנטיוירוס</v>
      </c>
      <c r="M353">
        <v>499</v>
      </c>
      <c r="N353">
        <v>19</v>
      </c>
      <c r="P353" t="str">
        <f ca="1"/>
        <v>ראשון לציון</v>
      </c>
      <c r="Q353" t="str">
        <f ca="1"/>
        <v>קורל דרו</v>
      </c>
      <c r="R353" t="str">
        <f ca="1"/>
        <v>שרטוט</v>
      </c>
      <c r="S353">
        <f ca="1"/>
        <v>280</v>
      </c>
      <c r="T353">
        <f ca="1"/>
        <v>27</v>
      </c>
    </row>
    <row r="354" spans="1:20">
      <c r="A354" s="18" t="s">
        <v>789</v>
      </c>
      <c r="B354" s="19" t="s">
        <v>28</v>
      </c>
      <c r="C354" s="19" t="s">
        <v>65</v>
      </c>
      <c r="D354" s="19" t="s">
        <v>58</v>
      </c>
      <c r="E354" s="19">
        <v>399</v>
      </c>
      <c r="F354" s="19">
        <v>23</v>
      </c>
      <c r="G354" s="21" t="s">
        <v>36</v>
      </c>
      <c r="H354" s="20">
        <v>7611</v>
      </c>
      <c r="J354" t="str">
        <v>ראשון לציון</v>
      </c>
      <c r="K354" t="str">
        <v>נורטון</v>
      </c>
      <c r="L354" t="str">
        <v>אנטיוירוס</v>
      </c>
      <c r="M354">
        <v>629</v>
      </c>
      <c r="N354">
        <v>16</v>
      </c>
      <c r="P354" t="str">
        <f ca="1"/>
        <v>קרית שמונה</v>
      </c>
      <c r="Q354" t="str">
        <f ca="1"/>
        <v>פאוור פוינט</v>
      </c>
      <c r="R354" t="str">
        <f ca="1"/>
        <v>מצגות</v>
      </c>
      <c r="S354">
        <f ca="1"/>
        <v>175</v>
      </c>
      <c r="T354">
        <f ca="1"/>
        <v>1</v>
      </c>
    </row>
    <row r="355" spans="1:20">
      <c r="A355" s="18" t="s">
        <v>790</v>
      </c>
      <c r="B355" s="19" t="s">
        <v>38</v>
      </c>
      <c r="C355" s="19" t="s">
        <v>73</v>
      </c>
      <c r="D355" s="19" t="s">
        <v>51</v>
      </c>
      <c r="E355" s="19">
        <v>119</v>
      </c>
      <c r="F355" s="19">
        <v>7</v>
      </c>
      <c r="G355" s="19" t="s">
        <v>41</v>
      </c>
      <c r="H355" s="20">
        <v>13963</v>
      </c>
      <c r="J355" t="str">
        <v>ראשון לציון</v>
      </c>
      <c r="K355" t="str">
        <v>נורטון</v>
      </c>
      <c r="L355" t="str">
        <v>אנטיוירוס</v>
      </c>
      <c r="M355">
        <v>629</v>
      </c>
      <c r="N355">
        <v>26</v>
      </c>
      <c r="P355" t="str">
        <f ca="1"/>
        <v>מכבים</v>
      </c>
      <c r="Q355" t="str">
        <f ca="1"/>
        <v>ברידג'</v>
      </c>
      <c r="R355" t="str">
        <f ca="1"/>
        <v>בידור</v>
      </c>
      <c r="S355">
        <f ca="1"/>
        <v>75</v>
      </c>
      <c r="T355">
        <f ca="1"/>
        <v>16</v>
      </c>
    </row>
    <row r="356" spans="1:20">
      <c r="A356" s="18" t="s">
        <v>790</v>
      </c>
      <c r="B356" s="19" t="s">
        <v>24</v>
      </c>
      <c r="C356" s="19" t="s">
        <v>71</v>
      </c>
      <c r="D356" s="19" t="s">
        <v>30</v>
      </c>
      <c r="E356" s="19">
        <v>555</v>
      </c>
      <c r="F356" s="19">
        <v>15</v>
      </c>
      <c r="G356" s="19" t="s">
        <v>27</v>
      </c>
      <c r="H356" s="20">
        <v>3729</v>
      </c>
      <c r="J356" t="str">
        <v>ראשון לציון</v>
      </c>
      <c r="K356" t="str">
        <v>נורטון</v>
      </c>
      <c r="L356" t="str">
        <v>אנטיוירוס</v>
      </c>
      <c r="M356">
        <v>629</v>
      </c>
      <c r="N356">
        <v>6</v>
      </c>
      <c r="P356" t="str">
        <f ca="1"/>
        <v>חיפה</v>
      </c>
      <c r="Q356" t="str">
        <f ca="1"/>
        <v>נגן ריל פלייר 1</v>
      </c>
      <c r="R356" t="str">
        <f ca="1"/>
        <v>בידור</v>
      </c>
      <c r="S356">
        <f ca="1"/>
        <v>139</v>
      </c>
      <c r="T356">
        <f ca="1"/>
        <v>20</v>
      </c>
    </row>
    <row r="357" spans="1:20">
      <c r="A357" s="18" t="s">
        <v>791</v>
      </c>
      <c r="B357" s="19" t="s">
        <v>28</v>
      </c>
      <c r="C357" s="19" t="s">
        <v>32</v>
      </c>
      <c r="D357" s="19" t="s">
        <v>33</v>
      </c>
      <c r="E357" s="19">
        <v>499</v>
      </c>
      <c r="F357" s="19">
        <v>8</v>
      </c>
      <c r="G357" s="21" t="s">
        <v>36</v>
      </c>
      <c r="H357" s="20">
        <v>5485</v>
      </c>
      <c r="J357" t="str">
        <v>ראשון לציון</v>
      </c>
      <c r="K357" t="str">
        <v>נורטון</v>
      </c>
      <c r="L357" t="str">
        <v>אנטיוירוס</v>
      </c>
      <c r="M357">
        <v>629</v>
      </c>
      <c r="N357">
        <v>25</v>
      </c>
      <c r="P357" t="str">
        <f ca="1"/>
        <v>ראשון לציון</v>
      </c>
      <c r="Q357" t="str">
        <f ca="1"/>
        <v>קורל דרו</v>
      </c>
      <c r="R357" t="str">
        <f ca="1"/>
        <v>שרטוט</v>
      </c>
      <c r="S357">
        <f ca="1"/>
        <v>280</v>
      </c>
      <c r="T357">
        <f ca="1"/>
        <v>33</v>
      </c>
    </row>
    <row r="358" spans="1:20">
      <c r="A358" s="18" t="s">
        <v>791</v>
      </c>
      <c r="B358" s="19" t="s">
        <v>81</v>
      </c>
      <c r="C358" s="19" t="s">
        <v>25</v>
      </c>
      <c r="D358" s="19" t="s">
        <v>26</v>
      </c>
      <c r="E358" s="19">
        <v>280</v>
      </c>
      <c r="F358" s="19">
        <v>25</v>
      </c>
      <c r="G358" s="19" t="s">
        <v>82</v>
      </c>
      <c r="H358" s="20">
        <v>3679</v>
      </c>
      <c r="J358" t="str">
        <v>ראשון לציון</v>
      </c>
      <c r="K358" t="str">
        <v>נורטון</v>
      </c>
      <c r="L358" t="str">
        <v>אנטיוירוס</v>
      </c>
      <c r="M358">
        <v>629</v>
      </c>
      <c r="N358">
        <v>12</v>
      </c>
      <c r="P358" t="str">
        <f ca="1"/>
        <v>אילת</v>
      </c>
      <c r="Q358" t="str">
        <f ca="1"/>
        <v>נגן ריל פלייר 1</v>
      </c>
      <c r="R358" t="str">
        <f ca="1"/>
        <v>בידור</v>
      </c>
      <c r="S358">
        <f ca="1"/>
        <v>139</v>
      </c>
      <c r="T358">
        <f ca="1"/>
        <v>9</v>
      </c>
    </row>
    <row r="359" spans="1:20">
      <c r="A359" s="18" t="s">
        <v>792</v>
      </c>
      <c r="B359" s="19" t="s">
        <v>81</v>
      </c>
      <c r="C359" s="19" t="s">
        <v>68</v>
      </c>
      <c r="D359" s="19" t="s">
        <v>40</v>
      </c>
      <c r="E359" s="19">
        <v>149</v>
      </c>
      <c r="F359" s="19">
        <v>30</v>
      </c>
      <c r="G359" s="19" t="s">
        <v>82</v>
      </c>
      <c r="H359" s="20">
        <v>3285</v>
      </c>
      <c r="J359" t="str">
        <v>ראשון לציון</v>
      </c>
      <c r="K359" t="str">
        <v>ברידג'</v>
      </c>
      <c r="L359" t="str">
        <v>בידור</v>
      </c>
      <c r="M359">
        <v>75</v>
      </c>
      <c r="N359">
        <v>13</v>
      </c>
      <c r="P359" t="str">
        <f ca="1"/>
        <v>חיפה</v>
      </c>
      <c r="Q359" t="str">
        <f ca="1"/>
        <v>פאוור פוינט</v>
      </c>
      <c r="R359" t="str">
        <f ca="1"/>
        <v>מצגות</v>
      </c>
      <c r="S359">
        <f ca="1"/>
        <v>175</v>
      </c>
      <c r="T359">
        <f ca="1"/>
        <v>6</v>
      </c>
    </row>
    <row r="360" spans="1:20">
      <c r="A360" s="18" t="s">
        <v>793</v>
      </c>
      <c r="B360" s="19" t="s">
        <v>49</v>
      </c>
      <c r="C360" s="19" t="s">
        <v>61</v>
      </c>
      <c r="D360" s="19" t="s">
        <v>45</v>
      </c>
      <c r="E360" s="19">
        <v>199</v>
      </c>
      <c r="F360" s="19">
        <v>23</v>
      </c>
      <c r="G360" s="19" t="s">
        <v>52</v>
      </c>
      <c r="H360" s="20">
        <v>18150</v>
      </c>
      <c r="J360" t="str">
        <v>ראשון לציון</v>
      </c>
      <c r="K360" t="str">
        <v>ברידג'</v>
      </c>
      <c r="L360" t="str">
        <v>בידור</v>
      </c>
      <c r="M360">
        <v>75</v>
      </c>
      <c r="N360">
        <v>23</v>
      </c>
      <c r="P360" t="str">
        <f ca="1"/>
        <v>מכבים</v>
      </c>
      <c r="Q360" t="str">
        <f ca="1"/>
        <v>ברידג'</v>
      </c>
      <c r="R360" t="str">
        <f ca="1"/>
        <v>בידור</v>
      </c>
      <c r="S360">
        <f ca="1"/>
        <v>75</v>
      </c>
      <c r="T360">
        <f ca="1"/>
        <v>9</v>
      </c>
    </row>
    <row r="361" spans="1:20">
      <c r="A361" s="18" t="s">
        <v>793</v>
      </c>
      <c r="B361" s="19" t="s">
        <v>81</v>
      </c>
      <c r="C361" s="19" t="s">
        <v>48</v>
      </c>
      <c r="D361" s="19" t="s">
        <v>30</v>
      </c>
      <c r="E361" s="19">
        <v>95</v>
      </c>
      <c r="F361" s="19">
        <v>14</v>
      </c>
      <c r="G361" s="19" t="s">
        <v>83</v>
      </c>
      <c r="H361" s="20">
        <v>12769</v>
      </c>
      <c r="J361" t="str">
        <v>ראשון לציון</v>
      </c>
      <c r="K361" t="str">
        <v>ברידג'</v>
      </c>
      <c r="L361" t="str">
        <v>בידור</v>
      </c>
      <c r="M361">
        <v>75</v>
      </c>
      <c r="N361">
        <v>3</v>
      </c>
      <c r="P361" t="str">
        <f ca="1"/>
        <v>ירושלים</v>
      </c>
      <c r="Q361" t="str">
        <f ca="1"/>
        <v>זיפ-יט</v>
      </c>
      <c r="R361" t="str">
        <f ca="1"/>
        <v>דחיסה</v>
      </c>
      <c r="S361">
        <f ca="1"/>
        <v>99</v>
      </c>
      <c r="T361">
        <f ca="1"/>
        <v>26</v>
      </c>
    </row>
    <row r="362" spans="1:20">
      <c r="A362" s="18" t="s">
        <v>794</v>
      </c>
      <c r="B362" s="19" t="s">
        <v>81</v>
      </c>
      <c r="C362" s="19" t="s">
        <v>61</v>
      </c>
      <c r="D362" s="19" t="s">
        <v>45</v>
      </c>
      <c r="E362" s="19">
        <v>199</v>
      </c>
      <c r="F362" s="19">
        <v>30</v>
      </c>
      <c r="G362" s="19" t="s">
        <v>83</v>
      </c>
      <c r="H362" s="20">
        <v>14844</v>
      </c>
      <c r="J362" t="str">
        <v>ראשון לציון</v>
      </c>
      <c r="K362" t="str">
        <v>נגן ריל פלייר 1</v>
      </c>
      <c r="L362" t="str">
        <v>בידור</v>
      </c>
      <c r="M362">
        <v>139</v>
      </c>
      <c r="N362">
        <v>7</v>
      </c>
      <c r="P362" t="str">
        <f ca="1"/>
        <v>חיפה</v>
      </c>
      <c r="Q362" t="str">
        <f ca="1"/>
        <v>נורטון</v>
      </c>
      <c r="R362" t="str">
        <f ca="1"/>
        <v>אנטיוירוס</v>
      </c>
      <c r="S362">
        <f ca="1"/>
        <v>629</v>
      </c>
      <c r="T362">
        <f ca="1"/>
        <v>22</v>
      </c>
    </row>
    <row r="363" spans="1:20">
      <c r="A363" s="18" t="s">
        <v>795</v>
      </c>
      <c r="B363" s="19" t="s">
        <v>24</v>
      </c>
      <c r="C363" s="19" t="s">
        <v>39</v>
      </c>
      <c r="D363" s="19" t="s">
        <v>40</v>
      </c>
      <c r="E363" s="19">
        <v>299</v>
      </c>
      <c r="F363" s="19">
        <v>29</v>
      </c>
      <c r="G363" s="19" t="s">
        <v>37</v>
      </c>
      <c r="H363" s="20">
        <v>5588</v>
      </c>
      <c r="J363" t="str">
        <v>ראשון לציון</v>
      </c>
      <c r="K363" t="str">
        <v>נגן ריל פלייר 1</v>
      </c>
      <c r="L363" t="str">
        <v>בידור</v>
      </c>
      <c r="M363">
        <v>139</v>
      </c>
      <c r="N363">
        <v>2</v>
      </c>
      <c r="P363" t="str">
        <f ca="1"/>
        <v>קרית שמונה</v>
      </c>
      <c r="Q363" t="str">
        <f ca="1"/>
        <v>ברידג'</v>
      </c>
      <c r="R363" t="str">
        <f ca="1"/>
        <v>בידור</v>
      </c>
      <c r="S363">
        <f ca="1"/>
        <v>75</v>
      </c>
      <c r="T363">
        <f ca="1"/>
        <v>29</v>
      </c>
    </row>
    <row r="364" spans="1:20">
      <c r="A364" s="18" t="s">
        <v>795</v>
      </c>
      <c r="B364" s="19" t="s">
        <v>67</v>
      </c>
      <c r="C364" s="19" t="s">
        <v>25</v>
      </c>
      <c r="D364" s="19" t="s">
        <v>26</v>
      </c>
      <c r="E364" s="19">
        <v>280</v>
      </c>
      <c r="F364" s="19">
        <v>13</v>
      </c>
      <c r="G364" s="19" t="s">
        <v>78</v>
      </c>
      <c r="H364" s="20">
        <v>9805</v>
      </c>
      <c r="J364" t="str">
        <v>ראשון לציון</v>
      </c>
      <c r="K364" t="str">
        <v>נגן ריל פלייר 1</v>
      </c>
      <c r="L364" t="str">
        <v>בידור</v>
      </c>
      <c r="M364">
        <v>139</v>
      </c>
      <c r="N364">
        <v>33</v>
      </c>
      <c r="P364" t="str">
        <f ca="1"/>
        <v>ירושלים</v>
      </c>
      <c r="Q364" t="str">
        <f ca="1"/>
        <v>אקרובט</v>
      </c>
      <c r="R364" t="str">
        <f ca="1"/>
        <v>משרדית</v>
      </c>
      <c r="S364">
        <f ca="1"/>
        <v>599</v>
      </c>
      <c r="T364">
        <f ca="1"/>
        <v>13</v>
      </c>
    </row>
    <row r="365" spans="1:20">
      <c r="A365" s="18" t="s">
        <v>796</v>
      </c>
      <c r="B365" s="19" t="s">
        <v>24</v>
      </c>
      <c r="C365" s="19" t="s">
        <v>25</v>
      </c>
      <c r="D365" s="19" t="s">
        <v>26</v>
      </c>
      <c r="E365" s="19">
        <v>280</v>
      </c>
      <c r="F365" s="19">
        <v>7</v>
      </c>
      <c r="G365" s="19" t="s">
        <v>37</v>
      </c>
      <c r="H365" s="20">
        <v>1106</v>
      </c>
      <c r="J365" t="str">
        <v>ראשון לציון</v>
      </c>
      <c r="K365" t="str">
        <v>נגן ריל פלייר 1</v>
      </c>
      <c r="L365" t="str">
        <v>בידור</v>
      </c>
      <c r="M365">
        <v>139</v>
      </c>
      <c r="N365">
        <v>33</v>
      </c>
      <c r="P365" t="str">
        <f ca="1"/>
        <v>תל אביב</v>
      </c>
      <c r="Q365" t="str">
        <f ca="1"/>
        <v>ווין-זיפ 8</v>
      </c>
      <c r="R365" t="str">
        <f ca="1"/>
        <v>דחיסה</v>
      </c>
      <c r="S365">
        <f ca="1"/>
        <v>199</v>
      </c>
      <c r="T365">
        <f ca="1"/>
        <v>33</v>
      </c>
    </row>
    <row r="366" spans="1:20">
      <c r="A366" s="18" t="s">
        <v>796</v>
      </c>
      <c r="B366" s="19" t="s">
        <v>28</v>
      </c>
      <c r="C366" s="19" t="s">
        <v>61</v>
      </c>
      <c r="D366" s="19" t="s">
        <v>45</v>
      </c>
      <c r="E366" s="19">
        <v>199</v>
      </c>
      <c r="F366" s="19">
        <v>33</v>
      </c>
      <c r="G366" s="19" t="s">
        <v>43</v>
      </c>
      <c r="H366" s="20">
        <v>5685</v>
      </c>
      <c r="J366" t="str">
        <v>ראשון לציון</v>
      </c>
      <c r="K366" t="str">
        <v>נגן ריל פלייר 1</v>
      </c>
      <c r="L366" t="str">
        <v>בידור</v>
      </c>
      <c r="M366">
        <v>139</v>
      </c>
      <c r="N366">
        <v>10</v>
      </c>
      <c r="P366" t="str">
        <f ca="1"/>
        <v>ירושלים</v>
      </c>
      <c r="Q366" t="str">
        <f ca="1"/>
        <v>נגן ריל פלייר 1</v>
      </c>
      <c r="R366" t="str">
        <f ca="1"/>
        <v>בידור</v>
      </c>
      <c r="S366">
        <f ca="1"/>
        <v>139</v>
      </c>
      <c r="T366">
        <f ca="1"/>
        <v>9</v>
      </c>
    </row>
    <row r="367" spans="1:20">
      <c r="A367" s="18" t="s">
        <v>796</v>
      </c>
      <c r="B367" s="19" t="s">
        <v>81</v>
      </c>
      <c r="C367" s="19" t="s">
        <v>48</v>
      </c>
      <c r="D367" s="19" t="s">
        <v>30</v>
      </c>
      <c r="E367" s="19">
        <v>95</v>
      </c>
      <c r="F367" s="19">
        <v>13</v>
      </c>
      <c r="G367" s="19" t="s">
        <v>83</v>
      </c>
      <c r="H367" s="20">
        <v>9486</v>
      </c>
      <c r="J367" t="str">
        <v>ראשון לציון</v>
      </c>
      <c r="K367" t="str">
        <v>סוליטיר</v>
      </c>
      <c r="L367" t="str">
        <v>בידור</v>
      </c>
      <c r="M367">
        <v>119</v>
      </c>
      <c r="N367">
        <v>6</v>
      </c>
      <c r="P367" t="str">
        <f ca="1"/>
        <v>מכבים</v>
      </c>
      <c r="Q367" t="str">
        <f ca="1"/>
        <v>נורטון</v>
      </c>
      <c r="R367" t="str">
        <f ca="1"/>
        <v>אנטיוירוס</v>
      </c>
      <c r="S367">
        <f ca="1"/>
        <v>629</v>
      </c>
      <c r="T367">
        <f ca="1"/>
        <v>3</v>
      </c>
    </row>
    <row r="368" spans="1:20">
      <c r="A368" s="18" t="s">
        <v>796</v>
      </c>
      <c r="B368" s="19" t="s">
        <v>38</v>
      </c>
      <c r="C368" s="19" t="s">
        <v>47</v>
      </c>
      <c r="D368" s="19" t="s">
        <v>30</v>
      </c>
      <c r="E368" s="19">
        <v>99</v>
      </c>
      <c r="F368" s="19">
        <v>26</v>
      </c>
      <c r="G368" s="19" t="s">
        <v>64</v>
      </c>
      <c r="H368" s="20">
        <v>10169</v>
      </c>
      <c r="J368" t="str">
        <v>ראשון לציון</v>
      </c>
      <c r="K368" t="str">
        <v>סוליטיר</v>
      </c>
      <c r="L368" t="str">
        <v>בידור</v>
      </c>
      <c r="M368">
        <v>119</v>
      </c>
      <c r="N368">
        <v>23</v>
      </c>
      <c r="P368" t="str">
        <f ca="1"/>
        <v>אילת</v>
      </c>
      <c r="Q368" t="str">
        <f ca="1"/>
        <v>קורל דרו</v>
      </c>
      <c r="R368" t="str">
        <f ca="1"/>
        <v>שרטוט</v>
      </c>
      <c r="S368">
        <f ca="1"/>
        <v>280</v>
      </c>
      <c r="T368">
        <f ca="1"/>
        <v>18</v>
      </c>
    </row>
    <row r="369" spans="1:20">
      <c r="A369" s="18" t="s">
        <v>797</v>
      </c>
      <c r="B369" s="19" t="s">
        <v>38</v>
      </c>
      <c r="C369" s="19" t="s">
        <v>39</v>
      </c>
      <c r="D369" s="19" t="s">
        <v>40</v>
      </c>
      <c r="E369" s="19">
        <v>299</v>
      </c>
      <c r="F369" s="19">
        <v>17</v>
      </c>
      <c r="G369" s="19" t="s">
        <v>77</v>
      </c>
      <c r="H369" s="20">
        <v>4309</v>
      </c>
      <c r="J369" t="str">
        <v>ראשון לציון</v>
      </c>
      <c r="K369" t="str">
        <v>סוליטיר</v>
      </c>
      <c r="L369" t="str">
        <v>בידור</v>
      </c>
      <c r="M369">
        <v>119</v>
      </c>
      <c r="N369">
        <v>28</v>
      </c>
      <c r="P369" t="str">
        <f ca="1"/>
        <v>מכבים</v>
      </c>
      <c r="Q369" t="str">
        <f ca="1"/>
        <v>בבילון</v>
      </c>
      <c r="R369" t="str">
        <f ca="1"/>
        <v>משרדית</v>
      </c>
      <c r="S369">
        <f ca="1"/>
        <v>99</v>
      </c>
      <c r="T369">
        <f ca="1"/>
        <v>13</v>
      </c>
    </row>
    <row r="370" spans="1:20">
      <c r="A370" s="18" t="s">
        <v>798</v>
      </c>
      <c r="B370" s="19" t="s">
        <v>67</v>
      </c>
      <c r="C370" s="19" t="s">
        <v>29</v>
      </c>
      <c r="D370" s="19" t="s">
        <v>30</v>
      </c>
      <c r="E370" s="19">
        <v>899</v>
      </c>
      <c r="F370" s="19">
        <v>24</v>
      </c>
      <c r="G370" s="19" t="s">
        <v>78</v>
      </c>
      <c r="H370" s="20">
        <v>14625</v>
      </c>
      <c r="J370" t="str">
        <v>ראשון לציון</v>
      </c>
      <c r="K370" t="str">
        <v>סוליטיר</v>
      </c>
      <c r="L370" t="str">
        <v>בידור</v>
      </c>
      <c r="M370">
        <v>119</v>
      </c>
      <c r="N370">
        <v>7</v>
      </c>
      <c r="P370" t="str">
        <f ca="1"/>
        <v>ירושלים</v>
      </c>
      <c r="Q370" t="str">
        <f ca="1"/>
        <v>ווין-זיפ 8</v>
      </c>
      <c r="R370" t="str">
        <f ca="1"/>
        <v>דחיסה</v>
      </c>
      <c r="S370">
        <f ca="1"/>
        <v>199</v>
      </c>
      <c r="T370">
        <f ca="1"/>
        <v>25</v>
      </c>
    </row>
    <row r="371" spans="1:20">
      <c r="A371" s="18" t="s">
        <v>798</v>
      </c>
      <c r="B371" s="19" t="s">
        <v>49</v>
      </c>
      <c r="C371" s="19" t="s">
        <v>50</v>
      </c>
      <c r="D371" s="19" t="s">
        <v>51</v>
      </c>
      <c r="E371" s="19">
        <v>139</v>
      </c>
      <c r="F371" s="19">
        <v>3</v>
      </c>
      <c r="G371" s="19" t="s">
        <v>54</v>
      </c>
      <c r="H371" s="20">
        <v>6574</v>
      </c>
      <c r="J371" t="str">
        <v>ראשון לציון</v>
      </c>
      <c r="K371" t="str">
        <v>ווין-זיפ 8</v>
      </c>
      <c r="L371" t="str">
        <v>דחיסה</v>
      </c>
      <c r="M371">
        <v>199</v>
      </c>
      <c r="N371">
        <v>24</v>
      </c>
      <c r="P371" t="str">
        <f ca="1"/>
        <v>מכבים</v>
      </c>
      <c r="Q371" t="str">
        <f ca="1"/>
        <v>פגפ</v>
      </c>
      <c r="R371" t="str">
        <f ca="1"/>
        <v>אבטחה</v>
      </c>
      <c r="S371">
        <f ca="1"/>
        <v>299</v>
      </c>
      <c r="T371">
        <f ca="1"/>
        <v>29</v>
      </c>
    </row>
    <row r="372" spans="1:20">
      <c r="A372" s="18" t="s">
        <v>799</v>
      </c>
      <c r="B372" s="19" t="s">
        <v>55</v>
      </c>
      <c r="C372" s="19" t="s">
        <v>39</v>
      </c>
      <c r="D372" s="19" t="s">
        <v>40</v>
      </c>
      <c r="E372" s="19">
        <v>299</v>
      </c>
      <c r="F372" s="19">
        <v>19</v>
      </c>
      <c r="G372" s="19" t="s">
        <v>56</v>
      </c>
      <c r="H372" s="20">
        <v>16461</v>
      </c>
      <c r="J372" t="str">
        <v>ראשון לציון</v>
      </c>
      <c r="K372" t="str">
        <v>ווין-זיפ 8</v>
      </c>
      <c r="L372" t="str">
        <v>דחיסה</v>
      </c>
      <c r="M372">
        <v>199</v>
      </c>
      <c r="N372">
        <v>12</v>
      </c>
      <c r="P372" t="str">
        <f ca="1"/>
        <v>חיפה</v>
      </c>
      <c r="Q372" t="str">
        <f ca="1"/>
        <v>זיפ-יט</v>
      </c>
      <c r="R372" t="str">
        <f ca="1"/>
        <v>דחיסה</v>
      </c>
      <c r="S372">
        <f ca="1"/>
        <v>99</v>
      </c>
      <c r="T372">
        <f ca="1"/>
        <v>7</v>
      </c>
    </row>
    <row r="373" spans="1:20">
      <c r="A373" s="18" t="s">
        <v>799</v>
      </c>
      <c r="B373" s="19" t="s">
        <v>24</v>
      </c>
      <c r="C373" s="19" t="s">
        <v>42</v>
      </c>
      <c r="D373" s="19" t="s">
        <v>30</v>
      </c>
      <c r="E373" s="19">
        <v>59</v>
      </c>
      <c r="F373" s="19">
        <v>26</v>
      </c>
      <c r="G373" s="19" t="s">
        <v>37</v>
      </c>
      <c r="H373" s="20">
        <v>6454</v>
      </c>
      <c r="J373" t="str">
        <v>ראשון לציון</v>
      </c>
      <c r="K373" t="str">
        <v>ווין-זיפ 8</v>
      </c>
      <c r="L373" t="str">
        <v>דחיסה</v>
      </c>
      <c r="M373">
        <v>199</v>
      </c>
      <c r="N373">
        <v>17</v>
      </c>
      <c r="P373" t="str">
        <f ca="1"/>
        <v>ירושלים</v>
      </c>
      <c r="Q373" t="str">
        <f ca="1"/>
        <v>פנל תמיכת החלטות</v>
      </c>
      <c r="R373" t="str">
        <f ca="1"/>
        <v>משרדית</v>
      </c>
      <c r="S373">
        <f ca="1"/>
        <v>899</v>
      </c>
      <c r="T373">
        <f ca="1"/>
        <v>20</v>
      </c>
    </row>
    <row r="374" spans="1:20">
      <c r="A374" s="18" t="s">
        <v>800</v>
      </c>
      <c r="B374" s="19" t="s">
        <v>81</v>
      </c>
      <c r="C374" s="19" t="s">
        <v>62</v>
      </c>
      <c r="D374" s="19" t="s">
        <v>33</v>
      </c>
      <c r="E374" s="19">
        <v>629</v>
      </c>
      <c r="F374" s="19">
        <v>10</v>
      </c>
      <c r="G374" s="19" t="s">
        <v>82</v>
      </c>
      <c r="H374" s="20">
        <v>14574</v>
      </c>
      <c r="J374" t="str">
        <v>ראשון לציון</v>
      </c>
      <c r="K374" t="str">
        <v>ווין-זיפ 8</v>
      </c>
      <c r="L374" t="str">
        <v>דחיסה</v>
      </c>
      <c r="M374">
        <v>199</v>
      </c>
      <c r="N374">
        <v>8</v>
      </c>
      <c r="P374" t="str">
        <f ca="1"/>
        <v>תל אביב</v>
      </c>
      <c r="Q374" t="str">
        <f ca="1"/>
        <v>איריס</v>
      </c>
      <c r="R374" t="str">
        <f ca="1"/>
        <v>אנטיוירוס</v>
      </c>
      <c r="S374">
        <f ca="1"/>
        <v>499</v>
      </c>
      <c r="T374">
        <f ca="1"/>
        <v>8</v>
      </c>
    </row>
    <row r="375" spans="1:20">
      <c r="A375" s="18" t="s">
        <v>800</v>
      </c>
      <c r="B375" s="19" t="s">
        <v>28</v>
      </c>
      <c r="C375" s="19" t="s">
        <v>47</v>
      </c>
      <c r="D375" s="19" t="s">
        <v>30</v>
      </c>
      <c r="E375" s="19">
        <v>99</v>
      </c>
      <c r="F375" s="19">
        <v>21</v>
      </c>
      <c r="G375" s="19" t="s">
        <v>43</v>
      </c>
      <c r="H375" s="20">
        <v>14032</v>
      </c>
      <c r="J375" t="str">
        <v>ראשון לציון</v>
      </c>
      <c r="K375" t="str">
        <v>זיפ-יט</v>
      </c>
      <c r="L375" t="str">
        <v>דחיסה</v>
      </c>
      <c r="M375">
        <v>99</v>
      </c>
      <c r="N375">
        <v>21</v>
      </c>
      <c r="P375" t="str">
        <f ca="1"/>
        <v>ירושלים</v>
      </c>
      <c r="Q375" t="str">
        <f ca="1"/>
        <v>נגן ריל פלייר 1</v>
      </c>
      <c r="R375" t="str">
        <f ca="1"/>
        <v>בידור</v>
      </c>
      <c r="S375">
        <f ca="1"/>
        <v>139</v>
      </c>
      <c r="T375">
        <f ca="1"/>
        <v>27</v>
      </c>
    </row>
    <row r="376" spans="1:20">
      <c r="A376" s="18">
        <v>44936</v>
      </c>
      <c r="B376" s="19" t="s">
        <v>38</v>
      </c>
      <c r="C376" s="19" t="s">
        <v>57</v>
      </c>
      <c r="D376" s="19" t="s">
        <v>58</v>
      </c>
      <c r="E376" s="19">
        <v>175</v>
      </c>
      <c r="F376" s="19">
        <v>18</v>
      </c>
      <c r="G376" s="19" t="s">
        <v>64</v>
      </c>
      <c r="H376" s="20">
        <v>9901</v>
      </c>
      <c r="J376" t="str">
        <v>ראשון לציון</v>
      </c>
      <c r="K376" t="str">
        <v>זיפ-יט</v>
      </c>
      <c r="L376" t="str">
        <v>דחיסה</v>
      </c>
      <c r="M376">
        <v>99</v>
      </c>
      <c r="N376">
        <v>23</v>
      </c>
      <c r="P376" t="str">
        <f ca="1"/>
        <v>קרית שמונה</v>
      </c>
      <c r="Q376" t="str">
        <f ca="1"/>
        <v>פרו-פורט</v>
      </c>
      <c r="R376" t="str">
        <f ca="1"/>
        <v>אבטחה</v>
      </c>
      <c r="S376">
        <f ca="1"/>
        <v>149</v>
      </c>
      <c r="T376">
        <f ca="1"/>
        <v>14</v>
      </c>
    </row>
    <row r="377" spans="1:20">
      <c r="A377" s="18">
        <v>44936</v>
      </c>
      <c r="B377" s="19" t="s">
        <v>49</v>
      </c>
      <c r="C377" s="19" t="s">
        <v>50</v>
      </c>
      <c r="D377" s="19" t="s">
        <v>51</v>
      </c>
      <c r="E377" s="19">
        <v>139</v>
      </c>
      <c r="F377" s="19">
        <v>11</v>
      </c>
      <c r="G377" s="19" t="s">
        <v>52</v>
      </c>
      <c r="H377" s="20">
        <v>9429</v>
      </c>
      <c r="J377" t="str">
        <v>ראשון לציון</v>
      </c>
      <c r="K377" t="str">
        <v>זיפ-יט</v>
      </c>
      <c r="L377" t="str">
        <v>דחיסה</v>
      </c>
      <c r="M377">
        <v>99</v>
      </c>
      <c r="N377">
        <v>12</v>
      </c>
      <c r="P377" t="str">
        <f ca="1"/>
        <v>ראשון לציון</v>
      </c>
      <c r="Q377" t="str">
        <f ca="1"/>
        <v>פיירוול 1</v>
      </c>
      <c r="R377" t="str">
        <f ca="1"/>
        <v>אבטחה</v>
      </c>
      <c r="S377">
        <f ca="1"/>
        <v>229</v>
      </c>
      <c r="T377">
        <f ca="1"/>
        <v>17</v>
      </c>
    </row>
    <row r="378" spans="1:20">
      <c r="A378" s="18">
        <v>44967</v>
      </c>
      <c r="B378" s="19" t="s">
        <v>67</v>
      </c>
      <c r="C378" s="19" t="s">
        <v>57</v>
      </c>
      <c r="D378" s="19" t="s">
        <v>58</v>
      </c>
      <c r="E378" s="19">
        <v>175</v>
      </c>
      <c r="F378" s="19">
        <v>21</v>
      </c>
      <c r="G378" s="19" t="s">
        <v>78</v>
      </c>
      <c r="H378" s="20">
        <v>3661</v>
      </c>
      <c r="J378" t="str">
        <v>ראשון לציון</v>
      </c>
      <c r="K378" t="str">
        <v>זיפ-יט</v>
      </c>
      <c r="L378" t="str">
        <v>דחיסה</v>
      </c>
      <c r="M378">
        <v>99</v>
      </c>
      <c r="N378">
        <v>9</v>
      </c>
      <c r="P378" t="str">
        <f ca="1"/>
        <v>חיפה</v>
      </c>
      <c r="Q378" t="str">
        <f ca="1"/>
        <v>וורד</v>
      </c>
      <c r="R378" t="str">
        <f ca="1"/>
        <v>משרדית</v>
      </c>
      <c r="S378">
        <f ca="1"/>
        <v>350</v>
      </c>
      <c r="T378">
        <f ca="1"/>
        <v>3</v>
      </c>
    </row>
    <row r="379" spans="1:20">
      <c r="A379" s="18">
        <v>45056</v>
      </c>
      <c r="B379" s="19" t="s">
        <v>28</v>
      </c>
      <c r="C379" s="19" t="s">
        <v>53</v>
      </c>
      <c r="D379" s="19" t="s">
        <v>40</v>
      </c>
      <c r="E379" s="19">
        <v>229</v>
      </c>
      <c r="F379" s="19">
        <v>15</v>
      </c>
      <c r="G379" s="19" t="s">
        <v>43</v>
      </c>
      <c r="H379" s="20">
        <v>2675</v>
      </c>
      <c r="J379" t="str">
        <v>ראשון לציון</v>
      </c>
      <c r="K379" t="str">
        <v>זיפ-יט</v>
      </c>
      <c r="L379" t="str">
        <v>דחיסה</v>
      </c>
      <c r="M379">
        <v>99</v>
      </c>
      <c r="N379">
        <v>2</v>
      </c>
      <c r="P379" t="str">
        <f ca="1"/>
        <v>ראשון לציון</v>
      </c>
      <c r="Q379" t="str">
        <f ca="1"/>
        <v>נגן ריל פלייר 1</v>
      </c>
      <c r="R379" t="str">
        <f ca="1"/>
        <v>בידור</v>
      </c>
      <c r="S379">
        <f ca="1"/>
        <v>139</v>
      </c>
      <c r="T379">
        <f ca="1"/>
        <v>33</v>
      </c>
    </row>
    <row r="380" spans="1:20">
      <c r="A380" s="18">
        <v>45056</v>
      </c>
      <c r="B380" s="19" t="s">
        <v>49</v>
      </c>
      <c r="C380" s="19" t="s">
        <v>57</v>
      </c>
      <c r="D380" s="19" t="s">
        <v>58</v>
      </c>
      <c r="E380" s="19">
        <v>175</v>
      </c>
      <c r="F380" s="19">
        <v>2</v>
      </c>
      <c r="G380" s="19" t="s">
        <v>70</v>
      </c>
      <c r="H380" s="20">
        <v>1800</v>
      </c>
      <c r="J380" t="str">
        <v>ראשון לציון</v>
      </c>
      <c r="K380" t="str">
        <v>אסטאונד</v>
      </c>
      <c r="L380" t="str">
        <v>מצגות</v>
      </c>
      <c r="M380">
        <v>399</v>
      </c>
      <c r="N380">
        <v>4</v>
      </c>
      <c r="P380" t="str">
        <f ca="1"/>
        <v>מכבים</v>
      </c>
      <c r="Q380" t="str">
        <f ca="1"/>
        <v>קורל דרו</v>
      </c>
      <c r="R380" t="str">
        <f ca="1"/>
        <v>שרטוט</v>
      </c>
      <c r="S380">
        <f ca="1"/>
        <v>280</v>
      </c>
      <c r="T380">
        <f ca="1"/>
        <v>4</v>
      </c>
    </row>
    <row r="381" spans="1:20">
      <c r="A381" s="18">
        <v>45087</v>
      </c>
      <c r="B381" s="19" t="s">
        <v>67</v>
      </c>
      <c r="C381" s="19" t="s">
        <v>39</v>
      </c>
      <c r="D381" s="19" t="s">
        <v>40</v>
      </c>
      <c r="E381" s="19">
        <v>299</v>
      </c>
      <c r="F381" s="19">
        <v>18</v>
      </c>
      <c r="G381" s="19" t="s">
        <v>69</v>
      </c>
      <c r="H381" s="20">
        <v>12653</v>
      </c>
      <c r="J381" t="str">
        <v>ראשון לציון</v>
      </c>
      <c r="K381" t="str">
        <v>אסטאונד</v>
      </c>
      <c r="L381" t="str">
        <v>מצגות</v>
      </c>
      <c r="M381">
        <v>399</v>
      </c>
      <c r="N381">
        <v>23</v>
      </c>
      <c r="P381" t="str">
        <f ca="1"/>
        <v>ירושלים</v>
      </c>
      <c r="Q381" t="str">
        <f ca="1"/>
        <v>וורד</v>
      </c>
      <c r="R381" t="str">
        <f ca="1"/>
        <v>משרדית</v>
      </c>
      <c r="S381">
        <f ca="1"/>
        <v>350</v>
      </c>
      <c r="T381">
        <f ca="1"/>
        <v>17</v>
      </c>
    </row>
    <row r="382" spans="1:20">
      <c r="A382" s="18">
        <v>45117</v>
      </c>
      <c r="B382" s="19" t="s">
        <v>55</v>
      </c>
      <c r="C382" s="19" t="s">
        <v>35</v>
      </c>
      <c r="D382" s="19" t="s">
        <v>30</v>
      </c>
      <c r="E382" s="19">
        <v>599</v>
      </c>
      <c r="F382" s="19">
        <v>13</v>
      </c>
      <c r="G382" s="19" t="s">
        <v>66</v>
      </c>
      <c r="H382" s="20">
        <v>5703</v>
      </c>
      <c r="J382" t="str">
        <v>ראשון לציון</v>
      </c>
      <c r="K382" t="str">
        <v>אסטאונד</v>
      </c>
      <c r="L382" t="str">
        <v>מצגות</v>
      </c>
      <c r="M382">
        <v>399</v>
      </c>
      <c r="N382">
        <v>14</v>
      </c>
      <c r="P382" t="str">
        <f ca="1"/>
        <v>ירושלים</v>
      </c>
      <c r="Q382" t="str">
        <f ca="1"/>
        <v>פנל תמיכת החלטות</v>
      </c>
      <c r="R382" t="str">
        <f ca="1"/>
        <v>משרדית</v>
      </c>
      <c r="S382">
        <f ca="1"/>
        <v>899</v>
      </c>
      <c r="T382">
        <f ca="1"/>
        <v>33</v>
      </c>
    </row>
    <row r="383" spans="1:20">
      <c r="A383" s="18">
        <v>45117</v>
      </c>
      <c r="B383" s="19" t="s">
        <v>38</v>
      </c>
      <c r="C383" s="19" t="s">
        <v>50</v>
      </c>
      <c r="D383" s="19" t="s">
        <v>51</v>
      </c>
      <c r="E383" s="19">
        <v>139</v>
      </c>
      <c r="F383" s="19">
        <v>2</v>
      </c>
      <c r="G383" s="19" t="s">
        <v>64</v>
      </c>
      <c r="H383" s="20">
        <v>18992</v>
      </c>
      <c r="J383" t="str">
        <v>ראשון לציון</v>
      </c>
      <c r="K383" t="str">
        <v>אסטאונד</v>
      </c>
      <c r="L383" t="str">
        <v>מצגות</v>
      </c>
      <c r="M383">
        <v>399</v>
      </c>
      <c r="N383">
        <v>5</v>
      </c>
      <c r="P383" t="str">
        <f ca="1"/>
        <v>ראשון לציון</v>
      </c>
      <c r="Q383" t="str">
        <f ca="1"/>
        <v>וורד</v>
      </c>
      <c r="R383" t="str">
        <f ca="1"/>
        <v>משרדית</v>
      </c>
      <c r="S383">
        <f ca="1"/>
        <v>350</v>
      </c>
      <c r="T383">
        <f ca="1"/>
        <v>4</v>
      </c>
    </row>
    <row r="384" spans="1:20">
      <c r="A384" s="18">
        <v>45117</v>
      </c>
      <c r="B384" s="19" t="s">
        <v>38</v>
      </c>
      <c r="C384" s="19" t="s">
        <v>50</v>
      </c>
      <c r="D384" s="19" t="s">
        <v>51</v>
      </c>
      <c r="E384" s="19">
        <v>139</v>
      </c>
      <c r="F384" s="19">
        <v>33</v>
      </c>
      <c r="G384" s="19" t="s">
        <v>63</v>
      </c>
      <c r="H384" s="20">
        <v>2662</v>
      </c>
      <c r="J384" t="str">
        <v>ראשון לציון</v>
      </c>
      <c r="K384" t="str">
        <v>פאוור פוינט</v>
      </c>
      <c r="L384" t="str">
        <v>מצגות</v>
      </c>
      <c r="M384">
        <v>175</v>
      </c>
      <c r="N384">
        <v>20</v>
      </c>
      <c r="P384" t="str">
        <f ca="1"/>
        <v>מכבים</v>
      </c>
      <c r="Q384" t="str">
        <f ca="1"/>
        <v>קורל דרו</v>
      </c>
      <c r="R384" t="str">
        <f ca="1"/>
        <v>שרטוט</v>
      </c>
      <c r="S384">
        <f ca="1"/>
        <v>280</v>
      </c>
      <c r="T384">
        <f ca="1"/>
        <v>29</v>
      </c>
    </row>
    <row r="385" spans="1:20">
      <c r="A385" s="18">
        <v>45179</v>
      </c>
      <c r="B385" s="19" t="s">
        <v>49</v>
      </c>
      <c r="C385" s="19" t="s">
        <v>39</v>
      </c>
      <c r="D385" s="19" t="s">
        <v>40</v>
      </c>
      <c r="E385" s="19">
        <v>299</v>
      </c>
      <c r="F385" s="19">
        <v>32</v>
      </c>
      <c r="G385" s="19" t="s">
        <v>54</v>
      </c>
      <c r="H385" s="20">
        <v>10769</v>
      </c>
      <c r="J385" t="str">
        <v>ראשון לציון</v>
      </c>
      <c r="K385" t="str">
        <v>פאוור פוינט</v>
      </c>
      <c r="L385" t="str">
        <v>מצגות</v>
      </c>
      <c r="M385">
        <v>175</v>
      </c>
      <c r="N385">
        <v>14</v>
      </c>
      <c r="P385" t="str">
        <f ca="1"/>
        <v>אילת</v>
      </c>
      <c r="Q385" t="str">
        <f ca="1"/>
        <v>זיפ-יט</v>
      </c>
      <c r="R385" t="str">
        <f ca="1"/>
        <v>דחיסה</v>
      </c>
      <c r="S385">
        <f ca="1"/>
        <v>99</v>
      </c>
      <c r="T385">
        <f ca="1"/>
        <v>17</v>
      </c>
    </row>
    <row r="386" spans="1:20">
      <c r="A386" s="18">
        <v>45179</v>
      </c>
      <c r="B386" s="19" t="s">
        <v>81</v>
      </c>
      <c r="C386" s="19" t="s">
        <v>57</v>
      </c>
      <c r="D386" s="19" t="s">
        <v>58</v>
      </c>
      <c r="E386" s="19">
        <v>175</v>
      </c>
      <c r="F386" s="19">
        <v>2</v>
      </c>
      <c r="G386" s="19" t="s">
        <v>83</v>
      </c>
      <c r="H386" s="20">
        <v>7124</v>
      </c>
      <c r="J386" t="str">
        <v>ראשון לציון</v>
      </c>
      <c r="K386" t="str">
        <v>פאוור פוינט</v>
      </c>
      <c r="L386" t="str">
        <v>מצגות</v>
      </c>
      <c r="M386">
        <v>175</v>
      </c>
      <c r="N386">
        <v>10</v>
      </c>
      <c r="P386" t="str">
        <f ca="1"/>
        <v>ירושלים</v>
      </c>
      <c r="Q386" t="str">
        <f ca="1"/>
        <v>יודורה</v>
      </c>
      <c r="R386" t="str">
        <f ca="1"/>
        <v>משרדית</v>
      </c>
      <c r="S386">
        <f ca="1"/>
        <v>59</v>
      </c>
      <c r="T386">
        <f ca="1"/>
        <v>24</v>
      </c>
    </row>
    <row r="387" spans="1:20">
      <c r="A387" s="18">
        <v>45179</v>
      </c>
      <c r="B387" s="19" t="s">
        <v>28</v>
      </c>
      <c r="C387" s="19" t="s">
        <v>65</v>
      </c>
      <c r="D387" s="19" t="s">
        <v>58</v>
      </c>
      <c r="E387" s="19">
        <v>399</v>
      </c>
      <c r="F387" s="19">
        <v>20</v>
      </c>
      <c r="G387" s="19" t="s">
        <v>34</v>
      </c>
      <c r="H387" s="20">
        <v>9485</v>
      </c>
      <c r="J387" t="str">
        <v>ראשון לציון</v>
      </c>
      <c r="K387" t="str">
        <v>פאוור פוינט</v>
      </c>
      <c r="L387" t="str">
        <v>מצגות</v>
      </c>
      <c r="M387">
        <v>175</v>
      </c>
      <c r="N387">
        <v>1</v>
      </c>
      <c r="P387" t="str">
        <f ca="1"/>
        <v>קרית שמונה</v>
      </c>
      <c r="Q387" t="str">
        <f ca="1"/>
        <v>יודורה</v>
      </c>
      <c r="R387" t="str">
        <f ca="1"/>
        <v>משרדית</v>
      </c>
      <c r="S387">
        <f ca="1"/>
        <v>59</v>
      </c>
      <c r="T387">
        <f ca="1"/>
        <v>28</v>
      </c>
    </row>
    <row r="388" spans="1:20">
      <c r="A388" s="18">
        <v>45240</v>
      </c>
      <c r="B388" s="19" t="s">
        <v>28</v>
      </c>
      <c r="C388" s="19" t="s">
        <v>48</v>
      </c>
      <c r="D388" s="19" t="s">
        <v>30</v>
      </c>
      <c r="E388" s="19">
        <v>95</v>
      </c>
      <c r="F388" s="19">
        <v>15</v>
      </c>
      <c r="G388" s="19" t="s">
        <v>43</v>
      </c>
      <c r="H388" s="20">
        <v>14310</v>
      </c>
      <c r="J388" t="str">
        <v>ראשון לציון</v>
      </c>
      <c r="K388" t="str">
        <v>פאוור פוינט</v>
      </c>
      <c r="L388" t="str">
        <v>מצגות</v>
      </c>
      <c r="M388">
        <v>175</v>
      </c>
      <c r="N388">
        <v>18</v>
      </c>
      <c r="P388" t="str">
        <f ca="1"/>
        <v>קרית שמונה</v>
      </c>
      <c r="Q388" t="str">
        <f ca="1"/>
        <v>איריס</v>
      </c>
      <c r="R388" t="str">
        <f ca="1"/>
        <v>אנטיוירוס</v>
      </c>
      <c r="S388">
        <f ca="1"/>
        <v>499</v>
      </c>
      <c r="T388">
        <f ca="1"/>
        <v>25</v>
      </c>
    </row>
    <row r="389" spans="1:20">
      <c r="A389" s="18">
        <v>45240</v>
      </c>
      <c r="B389" s="19" t="s">
        <v>24</v>
      </c>
      <c r="C389" s="19" t="s">
        <v>48</v>
      </c>
      <c r="D389" s="19" t="s">
        <v>30</v>
      </c>
      <c r="E389" s="19">
        <v>95</v>
      </c>
      <c r="F389" s="19">
        <v>26</v>
      </c>
      <c r="G389" s="19" t="s">
        <v>76</v>
      </c>
      <c r="H389" s="20">
        <v>18717</v>
      </c>
      <c r="J389" t="str">
        <v>ראשון לציון</v>
      </c>
      <c r="K389" t="str">
        <v>פאוור פוינט</v>
      </c>
      <c r="L389" t="str">
        <v>מצגות</v>
      </c>
      <c r="M389">
        <v>175</v>
      </c>
      <c r="N389">
        <v>4</v>
      </c>
      <c r="P389" t="str">
        <f ca="1"/>
        <v>אילת</v>
      </c>
      <c r="Q389" t="str">
        <f ca="1"/>
        <v>אקרובט</v>
      </c>
      <c r="R389" t="str">
        <f ca="1"/>
        <v>משרדית</v>
      </c>
      <c r="S389">
        <f ca="1"/>
        <v>599</v>
      </c>
      <c r="T389">
        <f ca="1"/>
        <v>32</v>
      </c>
    </row>
    <row r="390" spans="1:20">
      <c r="A390" s="18">
        <v>45240</v>
      </c>
      <c r="B390" s="19" t="s">
        <v>28</v>
      </c>
      <c r="C390" s="19" t="s">
        <v>39</v>
      </c>
      <c r="D390" s="19" t="s">
        <v>40</v>
      </c>
      <c r="E390" s="19">
        <v>299</v>
      </c>
      <c r="F390" s="19">
        <v>31</v>
      </c>
      <c r="G390" s="19" t="s">
        <v>34</v>
      </c>
      <c r="H390" s="20">
        <v>18704</v>
      </c>
      <c r="J390" t="str">
        <v>ראשון לציון</v>
      </c>
      <c r="K390" t="str">
        <v>פאוור פוינט</v>
      </c>
      <c r="L390" t="str">
        <v>מצגות</v>
      </c>
      <c r="M390">
        <v>175</v>
      </c>
      <c r="N390">
        <v>33</v>
      </c>
      <c r="P390" t="str">
        <f ca="1"/>
        <v>ירושלים</v>
      </c>
      <c r="Q390" t="str">
        <f ca="1"/>
        <v>אסטאונד</v>
      </c>
      <c r="R390" t="str">
        <f ca="1"/>
        <v>מצגות</v>
      </c>
      <c r="S390">
        <f ca="1"/>
        <v>399</v>
      </c>
      <c r="T390">
        <f ca="1"/>
        <v>6</v>
      </c>
    </row>
    <row r="391" spans="1:20">
      <c r="A391" s="18">
        <v>45270</v>
      </c>
      <c r="B391" s="19" t="s">
        <v>28</v>
      </c>
      <c r="C391" s="19" t="s">
        <v>68</v>
      </c>
      <c r="D391" s="19" t="s">
        <v>40</v>
      </c>
      <c r="E391" s="19">
        <v>149</v>
      </c>
      <c r="F391" s="19">
        <v>24</v>
      </c>
      <c r="G391" s="19" t="s">
        <v>34</v>
      </c>
      <c r="H391" s="20">
        <v>3914</v>
      </c>
      <c r="J391" t="str">
        <v>ראשון לציון</v>
      </c>
      <c r="K391" t="str">
        <v>אקסל</v>
      </c>
      <c r="L391" t="str">
        <v>משרדית</v>
      </c>
      <c r="M391">
        <v>555</v>
      </c>
      <c r="N391">
        <v>17</v>
      </c>
      <c r="P391" t="str">
        <f ca="1"/>
        <v>ירושלים</v>
      </c>
      <c r="Q391" t="str">
        <f ca="1"/>
        <v>אקסל</v>
      </c>
      <c r="R391" t="str">
        <f ca="1"/>
        <v>משרדית</v>
      </c>
      <c r="S391">
        <f ca="1"/>
        <v>555</v>
      </c>
      <c r="T391">
        <f ca="1"/>
        <v>4</v>
      </c>
    </row>
    <row r="392" spans="1:20">
      <c r="A392" s="18">
        <v>45270</v>
      </c>
      <c r="B392" s="19" t="s">
        <v>67</v>
      </c>
      <c r="C392" s="19" t="s">
        <v>73</v>
      </c>
      <c r="D392" s="19" t="s">
        <v>51</v>
      </c>
      <c r="E392" s="19">
        <v>119</v>
      </c>
      <c r="F392" s="19">
        <v>6</v>
      </c>
      <c r="G392" s="19" t="s">
        <v>74</v>
      </c>
      <c r="H392" s="20">
        <v>3487</v>
      </c>
      <c r="J392" t="str">
        <v>ראשון לציון</v>
      </c>
      <c r="K392" t="str">
        <v>אקסס</v>
      </c>
      <c r="L392" t="str">
        <v>משרדית</v>
      </c>
      <c r="M392">
        <v>95</v>
      </c>
      <c r="N392">
        <v>19</v>
      </c>
      <c r="P392" t="str">
        <f ca="1"/>
        <v>מכבים</v>
      </c>
      <c r="Q392" t="str">
        <f ca="1"/>
        <v>נורטון</v>
      </c>
      <c r="R392" t="str">
        <f ca="1"/>
        <v>אנטיוירוס</v>
      </c>
      <c r="S392">
        <f ca="1"/>
        <v>629</v>
      </c>
      <c r="T392">
        <f ca="1"/>
        <v>9</v>
      </c>
    </row>
    <row r="393" spans="1:20">
      <c r="A393" s="18" t="s">
        <v>801</v>
      </c>
      <c r="B393" s="19" t="s">
        <v>67</v>
      </c>
      <c r="C393" s="19" t="s">
        <v>39</v>
      </c>
      <c r="D393" s="19" t="s">
        <v>40</v>
      </c>
      <c r="E393" s="19">
        <v>299</v>
      </c>
      <c r="F393" s="19">
        <v>6</v>
      </c>
      <c r="G393" s="19" t="s">
        <v>69</v>
      </c>
      <c r="H393" s="20">
        <v>4315</v>
      </c>
      <c r="J393" t="str">
        <v>ראשון לציון</v>
      </c>
      <c r="K393" t="str">
        <v>אקסס</v>
      </c>
      <c r="L393" t="str">
        <v>משרדית</v>
      </c>
      <c r="M393">
        <v>95</v>
      </c>
      <c r="N393">
        <v>8</v>
      </c>
      <c r="P393" t="str">
        <f ca="1"/>
        <v>חיפה</v>
      </c>
      <c r="Q393" t="str">
        <f ca="1"/>
        <v>וורד</v>
      </c>
      <c r="R393" t="str">
        <f ca="1"/>
        <v>משרדית</v>
      </c>
      <c r="S393">
        <f ca="1"/>
        <v>350</v>
      </c>
      <c r="T393">
        <f ca="1"/>
        <v>18</v>
      </c>
    </row>
    <row r="394" spans="1:20">
      <c r="A394" s="18" t="s">
        <v>801</v>
      </c>
      <c r="B394" s="19" t="s">
        <v>38</v>
      </c>
      <c r="C394" s="19" t="s">
        <v>53</v>
      </c>
      <c r="D394" s="19" t="s">
        <v>40</v>
      </c>
      <c r="E394" s="19">
        <v>229</v>
      </c>
      <c r="F394" s="19">
        <v>5</v>
      </c>
      <c r="G394" s="19" t="s">
        <v>41</v>
      </c>
      <c r="H394" s="20">
        <v>11297</v>
      </c>
      <c r="J394" t="str">
        <v>ראשון לציון</v>
      </c>
      <c r="K394" t="str">
        <v>אקסס</v>
      </c>
      <c r="L394" t="str">
        <v>משרדית</v>
      </c>
      <c r="M394">
        <v>95</v>
      </c>
      <c r="N394">
        <v>23</v>
      </c>
      <c r="P394" t="str">
        <f ca="1"/>
        <v>תל אביב</v>
      </c>
      <c r="Q394" t="str">
        <f ca="1"/>
        <v>יודורה</v>
      </c>
      <c r="R394" t="str">
        <f ca="1"/>
        <v>משרדית</v>
      </c>
      <c r="S394">
        <f ca="1"/>
        <v>59</v>
      </c>
      <c r="T394">
        <f ca="1"/>
        <v>33</v>
      </c>
    </row>
    <row r="395" spans="1:20">
      <c r="A395" s="18" t="s">
        <v>801</v>
      </c>
      <c r="B395" s="19" t="s">
        <v>49</v>
      </c>
      <c r="C395" s="19" t="s">
        <v>73</v>
      </c>
      <c r="D395" s="19" t="s">
        <v>51</v>
      </c>
      <c r="E395" s="19">
        <v>119</v>
      </c>
      <c r="F395" s="19">
        <v>32</v>
      </c>
      <c r="G395" s="19" t="s">
        <v>70</v>
      </c>
      <c r="H395" s="20">
        <v>6941</v>
      </c>
      <c r="J395" t="str">
        <v>ראשון לציון</v>
      </c>
      <c r="K395" t="str">
        <v>אקרובט</v>
      </c>
      <c r="L395" t="str">
        <v>משרדית</v>
      </c>
      <c r="M395">
        <v>599</v>
      </c>
      <c r="N395">
        <v>6</v>
      </c>
      <c r="P395" t="str">
        <f ca="1"/>
        <v>ירושלים</v>
      </c>
      <c r="Q395" t="str">
        <f ca="1"/>
        <v>ווין-זיפ 8</v>
      </c>
      <c r="R395" t="str">
        <f ca="1"/>
        <v>דחיסה</v>
      </c>
      <c r="S395">
        <f ca="1"/>
        <v>199</v>
      </c>
      <c r="T395">
        <f ca="1"/>
        <v>7</v>
      </c>
    </row>
    <row r="396" spans="1:20">
      <c r="A396" s="18" t="s">
        <v>802</v>
      </c>
      <c r="B396" s="19" t="s">
        <v>49</v>
      </c>
      <c r="C396" s="19" t="s">
        <v>68</v>
      </c>
      <c r="D396" s="19" t="s">
        <v>40</v>
      </c>
      <c r="E396" s="19">
        <v>149</v>
      </c>
      <c r="F396" s="19">
        <v>26</v>
      </c>
      <c r="G396" s="19" t="s">
        <v>70</v>
      </c>
      <c r="H396" s="20">
        <v>7005</v>
      </c>
      <c r="J396" t="str">
        <v>ראשון לציון</v>
      </c>
      <c r="K396" t="str">
        <v>אקרובט</v>
      </c>
      <c r="L396" t="str">
        <v>משרדית</v>
      </c>
      <c r="M396">
        <v>599</v>
      </c>
      <c r="N396">
        <v>19</v>
      </c>
      <c r="P396" t="str">
        <f ca="1"/>
        <v>תל אביב</v>
      </c>
      <c r="Q396" t="str">
        <f ca="1"/>
        <v>איריס</v>
      </c>
      <c r="R396" t="str">
        <f ca="1"/>
        <v>אנטיוירוס</v>
      </c>
      <c r="S396">
        <f ca="1"/>
        <v>499</v>
      </c>
      <c r="T396">
        <f ca="1"/>
        <v>33</v>
      </c>
    </row>
    <row r="397" spans="1:20">
      <c r="A397" s="18" t="s">
        <v>803</v>
      </c>
      <c r="B397" s="19" t="s">
        <v>38</v>
      </c>
      <c r="C397" s="19" t="s">
        <v>50</v>
      </c>
      <c r="D397" s="19" t="s">
        <v>51</v>
      </c>
      <c r="E397" s="19">
        <v>139</v>
      </c>
      <c r="F397" s="19">
        <v>33</v>
      </c>
      <c r="G397" s="19" t="s">
        <v>60</v>
      </c>
      <c r="H397" s="20">
        <v>5161</v>
      </c>
      <c r="J397" t="str">
        <v>ראשון לציון</v>
      </c>
      <c r="K397" t="str">
        <v>בבילון</v>
      </c>
      <c r="L397" t="str">
        <v>משרדית</v>
      </c>
      <c r="M397">
        <v>99</v>
      </c>
      <c r="N397">
        <v>14</v>
      </c>
      <c r="P397" t="str">
        <f ca="1"/>
        <v>אילת</v>
      </c>
      <c r="Q397" t="str">
        <f ca="1"/>
        <v>פגפ</v>
      </c>
      <c r="R397" t="str">
        <f ca="1"/>
        <v>אבטחה</v>
      </c>
      <c r="S397">
        <f ca="1"/>
        <v>299</v>
      </c>
      <c r="T397">
        <f ca="1"/>
        <v>6</v>
      </c>
    </row>
    <row r="398" spans="1:20">
      <c r="A398" s="18" t="s">
        <v>804</v>
      </c>
      <c r="B398" s="19" t="s">
        <v>28</v>
      </c>
      <c r="C398" s="19" t="s">
        <v>32</v>
      </c>
      <c r="D398" s="19" t="s">
        <v>33</v>
      </c>
      <c r="E398" s="19">
        <v>499</v>
      </c>
      <c r="F398" s="19">
        <v>12</v>
      </c>
      <c r="G398" s="19" t="s">
        <v>34</v>
      </c>
      <c r="H398" s="20">
        <v>12272</v>
      </c>
      <c r="J398" t="str">
        <v>ראשון לציון</v>
      </c>
      <c r="K398" t="str">
        <v>בבילון</v>
      </c>
      <c r="L398" t="str">
        <v>משרדית</v>
      </c>
      <c r="M398">
        <v>99</v>
      </c>
      <c r="N398">
        <v>2</v>
      </c>
      <c r="P398" t="str">
        <f ca="1"/>
        <v>ראשון לציון</v>
      </c>
      <c r="Q398" t="str">
        <f ca="1"/>
        <v>פגפ</v>
      </c>
      <c r="R398" t="str">
        <f ca="1"/>
        <v>אבטחה</v>
      </c>
      <c r="S398">
        <f ca="1"/>
        <v>299</v>
      </c>
      <c r="T398">
        <f ca="1"/>
        <v>17</v>
      </c>
    </row>
    <row r="399" spans="1:20">
      <c r="A399" s="18" t="s">
        <v>805</v>
      </c>
      <c r="B399" s="19" t="s">
        <v>55</v>
      </c>
      <c r="C399" s="19" t="s">
        <v>32</v>
      </c>
      <c r="D399" s="19" t="s">
        <v>33</v>
      </c>
      <c r="E399" s="19">
        <v>499</v>
      </c>
      <c r="F399" s="19">
        <v>22</v>
      </c>
      <c r="G399" s="19" t="s">
        <v>56</v>
      </c>
      <c r="H399" s="20">
        <v>8118</v>
      </c>
      <c r="J399" t="str">
        <v>ראשון לציון</v>
      </c>
      <c r="K399" t="str">
        <v>בבילון</v>
      </c>
      <c r="L399" t="str">
        <v>משרדית</v>
      </c>
      <c r="M399">
        <v>99</v>
      </c>
      <c r="N399">
        <v>16</v>
      </c>
      <c r="P399" t="str">
        <f ca="1"/>
        <v>קרית שמונה</v>
      </c>
      <c r="Q399" t="str">
        <f ca="1"/>
        <v>אקסל</v>
      </c>
      <c r="R399" t="str">
        <f ca="1"/>
        <v>משרדית</v>
      </c>
      <c r="S399">
        <f ca="1"/>
        <v>555</v>
      </c>
      <c r="T399">
        <f ca="1"/>
        <v>22</v>
      </c>
    </row>
    <row r="400" spans="1:20">
      <c r="A400" s="18" t="s">
        <v>806</v>
      </c>
      <c r="B400" s="19" t="s">
        <v>28</v>
      </c>
      <c r="C400" s="19" t="s">
        <v>62</v>
      </c>
      <c r="D400" s="19" t="s">
        <v>33</v>
      </c>
      <c r="E400" s="19">
        <v>629</v>
      </c>
      <c r="F400" s="19">
        <v>13</v>
      </c>
      <c r="G400" s="19" t="s">
        <v>84</v>
      </c>
      <c r="H400" s="20">
        <v>18383</v>
      </c>
      <c r="J400" t="str">
        <v>ראשון לציון</v>
      </c>
      <c r="K400" t="str">
        <v>בבילון</v>
      </c>
      <c r="L400" t="str">
        <v>משרדית</v>
      </c>
      <c r="M400">
        <v>99</v>
      </c>
      <c r="N400">
        <v>28</v>
      </c>
      <c r="P400" t="str">
        <f ca="1"/>
        <v>מכבים</v>
      </c>
      <c r="Q400" t="str">
        <f ca="1"/>
        <v>יודורה</v>
      </c>
      <c r="R400" t="str">
        <f ca="1"/>
        <v>משרדית</v>
      </c>
      <c r="S400">
        <f ca="1"/>
        <v>59</v>
      </c>
      <c r="T400">
        <f ca="1"/>
        <v>13</v>
      </c>
    </row>
    <row r="401" spans="1:20">
      <c r="A401" s="18" t="s">
        <v>807</v>
      </c>
      <c r="B401" s="19" t="s">
        <v>28</v>
      </c>
      <c r="C401" s="19" t="s">
        <v>65</v>
      </c>
      <c r="D401" s="19" t="s">
        <v>58</v>
      </c>
      <c r="E401" s="19">
        <v>399</v>
      </c>
      <c r="F401" s="19">
        <v>5</v>
      </c>
      <c r="G401" s="19" t="s">
        <v>43</v>
      </c>
      <c r="H401" s="20">
        <v>10933</v>
      </c>
      <c r="J401" t="str">
        <v>ראשון לציון</v>
      </c>
      <c r="K401" t="str">
        <v>בבילון</v>
      </c>
      <c r="L401" t="str">
        <v>משרדית</v>
      </c>
      <c r="M401">
        <v>99</v>
      </c>
      <c r="N401">
        <v>25</v>
      </c>
      <c r="P401" t="str">
        <f ca="1"/>
        <v>אילת</v>
      </c>
      <c r="Q401" t="str">
        <f ca="1"/>
        <v>נגן ריל פלייר 1</v>
      </c>
      <c r="R401" t="str">
        <f ca="1"/>
        <v>בידור</v>
      </c>
      <c r="S401">
        <f ca="1"/>
        <v>139</v>
      </c>
      <c r="T401">
        <f ca="1"/>
        <v>10</v>
      </c>
    </row>
    <row r="402" spans="1:20">
      <c r="A402" s="18" t="s">
        <v>807</v>
      </c>
      <c r="B402" s="19" t="s">
        <v>38</v>
      </c>
      <c r="C402" s="19" t="s">
        <v>65</v>
      </c>
      <c r="D402" s="19" t="s">
        <v>58</v>
      </c>
      <c r="E402" s="19">
        <v>399</v>
      </c>
      <c r="F402" s="19">
        <v>5</v>
      </c>
      <c r="G402" s="19" t="s">
        <v>60</v>
      </c>
      <c r="H402" s="20">
        <v>1230</v>
      </c>
      <c r="J402" t="str">
        <v>ראשון לציון</v>
      </c>
      <c r="K402" t="str">
        <v>בבילון</v>
      </c>
      <c r="L402" t="str">
        <v>משרדית</v>
      </c>
      <c r="M402">
        <v>99</v>
      </c>
      <c r="N402">
        <v>26</v>
      </c>
      <c r="P402" t="str">
        <f ca="1"/>
        <v>תל אביב</v>
      </c>
      <c r="Q402" t="str">
        <f ca="1"/>
        <v>אקרובט</v>
      </c>
      <c r="R402" t="str">
        <f ca="1"/>
        <v>משרדית</v>
      </c>
      <c r="S402">
        <f ca="1"/>
        <v>599</v>
      </c>
      <c r="T402">
        <f ca="1"/>
        <v>4</v>
      </c>
    </row>
    <row r="403" spans="1:20">
      <c r="A403" s="18" t="s">
        <v>807</v>
      </c>
      <c r="B403" s="19" t="s">
        <v>24</v>
      </c>
      <c r="C403" s="19" t="s">
        <v>44</v>
      </c>
      <c r="D403" s="19" t="s">
        <v>45</v>
      </c>
      <c r="E403" s="19">
        <v>99</v>
      </c>
      <c r="F403" s="19">
        <v>6</v>
      </c>
      <c r="G403" s="19" t="s">
        <v>76</v>
      </c>
      <c r="H403" s="20">
        <v>17084</v>
      </c>
      <c r="J403" t="str">
        <v>ראשון לציון</v>
      </c>
      <c r="K403" t="str">
        <v>בבילון</v>
      </c>
      <c r="L403" t="str">
        <v>משרדית</v>
      </c>
      <c r="M403">
        <v>99</v>
      </c>
      <c r="N403">
        <v>28</v>
      </c>
      <c r="P403" t="str">
        <f ca="1"/>
        <v>קרית שמונה</v>
      </c>
      <c r="Q403" t="str">
        <f ca="1"/>
        <v>אסטאונד</v>
      </c>
      <c r="R403" t="str">
        <f ca="1"/>
        <v>מצגות</v>
      </c>
      <c r="S403">
        <f ca="1"/>
        <v>399</v>
      </c>
      <c r="T403">
        <f ca="1"/>
        <v>30</v>
      </c>
    </row>
    <row r="404" spans="1:20">
      <c r="A404" s="18" t="s">
        <v>808</v>
      </c>
      <c r="B404" s="19" t="s">
        <v>67</v>
      </c>
      <c r="C404" s="19" t="s">
        <v>73</v>
      </c>
      <c r="D404" s="19" t="s">
        <v>51</v>
      </c>
      <c r="E404" s="19">
        <v>119</v>
      </c>
      <c r="F404" s="19">
        <v>27</v>
      </c>
      <c r="G404" s="19" t="s">
        <v>78</v>
      </c>
      <c r="H404" s="20">
        <v>10752</v>
      </c>
      <c r="J404" t="str">
        <v>ראשון לציון</v>
      </c>
      <c r="K404" t="str">
        <v>וורד</v>
      </c>
      <c r="L404" t="str">
        <v>משרדית</v>
      </c>
      <c r="M404">
        <v>350</v>
      </c>
      <c r="N404">
        <v>30</v>
      </c>
      <c r="P404" t="str">
        <f ca="1"/>
        <v>ירושלים</v>
      </c>
      <c r="Q404" t="str">
        <f ca="1"/>
        <v>זיפ-יט</v>
      </c>
      <c r="R404" t="str">
        <f ca="1"/>
        <v>דחיסה</v>
      </c>
      <c r="S404">
        <f ca="1"/>
        <v>99</v>
      </c>
      <c r="T404">
        <f ca="1"/>
        <v>6</v>
      </c>
    </row>
    <row r="405" spans="1:20">
      <c r="A405" s="18" t="s">
        <v>809</v>
      </c>
      <c r="B405" s="19" t="s">
        <v>24</v>
      </c>
      <c r="C405" s="19" t="s">
        <v>71</v>
      </c>
      <c r="D405" s="19" t="s">
        <v>30</v>
      </c>
      <c r="E405" s="19">
        <v>555</v>
      </c>
      <c r="F405" s="19">
        <v>4</v>
      </c>
      <c r="G405" s="19" t="s">
        <v>46</v>
      </c>
      <c r="H405" s="20">
        <v>14408</v>
      </c>
      <c r="J405" t="str">
        <v>ראשון לציון</v>
      </c>
      <c r="K405" t="str">
        <v>וורד</v>
      </c>
      <c r="L405" t="str">
        <v>משרדית</v>
      </c>
      <c r="M405">
        <v>350</v>
      </c>
      <c r="N405">
        <v>22</v>
      </c>
      <c r="P405" t="str">
        <f ca="1"/>
        <v>תל אביב</v>
      </c>
      <c r="Q405" t="str">
        <f ca="1"/>
        <v>קורל דרו</v>
      </c>
      <c r="R405" t="str">
        <f ca="1"/>
        <v>שרטוט</v>
      </c>
      <c r="S405">
        <f ca="1"/>
        <v>280</v>
      </c>
      <c r="T405">
        <f ca="1"/>
        <v>2</v>
      </c>
    </row>
    <row r="406" spans="1:20">
      <c r="A406" s="18" t="s">
        <v>809</v>
      </c>
      <c r="B406" s="19" t="s">
        <v>38</v>
      </c>
      <c r="C406" s="19" t="s">
        <v>39</v>
      </c>
      <c r="D406" s="19" t="s">
        <v>40</v>
      </c>
      <c r="E406" s="19">
        <v>299</v>
      </c>
      <c r="F406" s="19">
        <v>1</v>
      </c>
      <c r="G406" s="19" t="s">
        <v>60</v>
      </c>
      <c r="H406" s="20">
        <v>9436</v>
      </c>
      <c r="J406" t="str">
        <v>ראשון לציון</v>
      </c>
      <c r="K406" t="str">
        <v>וורד</v>
      </c>
      <c r="L406" t="str">
        <v>משרדית</v>
      </c>
      <c r="M406">
        <v>350</v>
      </c>
      <c r="N406">
        <v>4</v>
      </c>
      <c r="P406" t="str">
        <f ca="1"/>
        <v>מכבים</v>
      </c>
      <c r="Q406" t="str">
        <f ca="1"/>
        <v>בבילון</v>
      </c>
      <c r="R406" t="str">
        <f ca="1"/>
        <v>משרדית</v>
      </c>
      <c r="S406">
        <f ca="1"/>
        <v>99</v>
      </c>
      <c r="T406">
        <f ca="1"/>
        <v>2</v>
      </c>
    </row>
    <row r="407" spans="1:20">
      <c r="A407" s="18" t="s">
        <v>810</v>
      </c>
      <c r="B407" s="19" t="s">
        <v>28</v>
      </c>
      <c r="C407" s="19" t="s">
        <v>71</v>
      </c>
      <c r="D407" s="19" t="s">
        <v>30</v>
      </c>
      <c r="E407" s="19">
        <v>555</v>
      </c>
      <c r="F407" s="19">
        <v>2</v>
      </c>
      <c r="G407" s="19" t="s">
        <v>84</v>
      </c>
      <c r="H407" s="20">
        <v>17761</v>
      </c>
      <c r="J407" t="str">
        <v>ראשון לציון</v>
      </c>
      <c r="K407" t="str">
        <v>וורד</v>
      </c>
      <c r="L407" t="str">
        <v>משרדית</v>
      </c>
      <c r="M407">
        <v>350</v>
      </c>
      <c r="N407">
        <v>10</v>
      </c>
      <c r="P407" t="str">
        <f ca="1"/>
        <v>אילת</v>
      </c>
      <c r="Q407" t="str">
        <f ca="1"/>
        <v>פנל תמיכת החלטות</v>
      </c>
      <c r="R407" t="str">
        <f ca="1"/>
        <v>משרדית</v>
      </c>
      <c r="S407">
        <f ca="1"/>
        <v>899</v>
      </c>
      <c r="T407">
        <f ca="1"/>
        <v>31</v>
      </c>
    </row>
    <row r="408" spans="1:20">
      <c r="A408" s="18" t="s">
        <v>811</v>
      </c>
      <c r="B408" s="19" t="s">
        <v>49</v>
      </c>
      <c r="C408" s="19" t="s">
        <v>47</v>
      </c>
      <c r="D408" s="19" t="s">
        <v>30</v>
      </c>
      <c r="E408" s="19">
        <v>99</v>
      </c>
      <c r="F408" s="19">
        <v>19</v>
      </c>
      <c r="G408" s="19" t="s">
        <v>52</v>
      </c>
      <c r="H408" s="20">
        <v>7046</v>
      </c>
      <c r="J408" t="str">
        <v>ראשון לציון</v>
      </c>
      <c r="K408" t="str">
        <v>וורד</v>
      </c>
      <c r="L408" t="str">
        <v>משרדית</v>
      </c>
      <c r="M408">
        <v>350</v>
      </c>
      <c r="N408">
        <v>26</v>
      </c>
      <c r="P408" t="str">
        <f ca="1"/>
        <v>תל אביב</v>
      </c>
      <c r="Q408" t="str">
        <f ca="1"/>
        <v>פרו-פורט</v>
      </c>
      <c r="R408" t="str">
        <f ca="1"/>
        <v>אבטחה</v>
      </c>
      <c r="S408">
        <f ca="1"/>
        <v>149</v>
      </c>
      <c r="T408">
        <f ca="1"/>
        <v>24</v>
      </c>
    </row>
    <row r="409" spans="1:20">
      <c r="A409" s="18" t="s">
        <v>812</v>
      </c>
      <c r="B409" s="19" t="s">
        <v>55</v>
      </c>
      <c r="C409" s="19" t="s">
        <v>48</v>
      </c>
      <c r="D409" s="19" t="s">
        <v>30</v>
      </c>
      <c r="E409" s="19">
        <v>95</v>
      </c>
      <c r="F409" s="19">
        <v>14</v>
      </c>
      <c r="G409" s="19" t="s">
        <v>56</v>
      </c>
      <c r="H409" s="20">
        <v>15310</v>
      </c>
      <c r="J409" t="str">
        <v>ראשון לציון</v>
      </c>
      <c r="K409" t="str">
        <v>וורד</v>
      </c>
      <c r="L409" t="str">
        <v>משרדית</v>
      </c>
      <c r="M409">
        <v>350</v>
      </c>
      <c r="N409">
        <v>18</v>
      </c>
      <c r="P409" t="str">
        <f ca="1"/>
        <v>מכבים</v>
      </c>
      <c r="Q409" t="str">
        <f ca="1"/>
        <v>נגן ריל פלייר 1</v>
      </c>
      <c r="R409" t="str">
        <f ca="1"/>
        <v>בידור</v>
      </c>
      <c r="S409">
        <f ca="1"/>
        <v>139</v>
      </c>
      <c r="T409">
        <f ca="1"/>
        <v>24</v>
      </c>
    </row>
    <row r="410" spans="1:20">
      <c r="A410" s="18" t="s">
        <v>813</v>
      </c>
      <c r="B410" s="19" t="s">
        <v>38</v>
      </c>
      <c r="C410" s="19" t="s">
        <v>29</v>
      </c>
      <c r="D410" s="19" t="s">
        <v>30</v>
      </c>
      <c r="E410" s="19">
        <v>899</v>
      </c>
      <c r="F410" s="19">
        <v>2</v>
      </c>
      <c r="G410" s="19" t="s">
        <v>41</v>
      </c>
      <c r="H410" s="20">
        <v>14300</v>
      </c>
      <c r="J410" t="str">
        <v>ראשון לציון</v>
      </c>
      <c r="K410" t="str">
        <v>יודורה</v>
      </c>
      <c r="L410" t="str">
        <v>משרדית</v>
      </c>
      <c r="M410">
        <v>59</v>
      </c>
      <c r="N410">
        <v>25</v>
      </c>
      <c r="P410" t="str">
        <f ca="1"/>
        <v>קרית שמונה</v>
      </c>
      <c r="Q410" t="str">
        <f ca="1"/>
        <v>נורטון</v>
      </c>
      <c r="R410" t="str">
        <f ca="1"/>
        <v>אנטיוירוס</v>
      </c>
      <c r="S410">
        <f ca="1"/>
        <v>629</v>
      </c>
      <c r="T410">
        <f ca="1"/>
        <v>5</v>
      </c>
    </row>
    <row r="411" spans="1:20">
      <c r="A411" s="18" t="s">
        <v>813</v>
      </c>
      <c r="B411" s="19" t="s">
        <v>67</v>
      </c>
      <c r="C411" s="19" t="s">
        <v>85</v>
      </c>
      <c r="D411" s="19" t="s">
        <v>51</v>
      </c>
      <c r="E411" s="19">
        <v>75</v>
      </c>
      <c r="F411" s="19">
        <v>27</v>
      </c>
      <c r="G411" s="19" t="s">
        <v>78</v>
      </c>
      <c r="H411" s="20">
        <v>8894</v>
      </c>
      <c r="J411" t="str">
        <v>ראשון לציון</v>
      </c>
      <c r="K411" t="str">
        <v>יודורה</v>
      </c>
      <c r="L411" t="str">
        <v>משרדית</v>
      </c>
      <c r="M411">
        <v>59</v>
      </c>
      <c r="N411">
        <v>31</v>
      </c>
      <c r="P411" t="str">
        <f ca="1"/>
        <v>אילת</v>
      </c>
      <c r="Q411" t="str">
        <f ca="1"/>
        <v>אסטאונד</v>
      </c>
      <c r="R411" t="str">
        <f ca="1"/>
        <v>מצגות</v>
      </c>
      <c r="S411">
        <f ca="1"/>
        <v>399</v>
      </c>
      <c r="T411">
        <f ca="1"/>
        <v>30</v>
      </c>
    </row>
    <row r="412" spans="1:20">
      <c r="A412" s="18" t="s">
        <v>813</v>
      </c>
      <c r="B412" s="19" t="s">
        <v>24</v>
      </c>
      <c r="C412" s="19" t="s">
        <v>47</v>
      </c>
      <c r="D412" s="19" t="s">
        <v>30</v>
      </c>
      <c r="E412" s="19">
        <v>99</v>
      </c>
      <c r="F412" s="19">
        <v>13</v>
      </c>
      <c r="G412" s="19" t="s">
        <v>76</v>
      </c>
      <c r="H412" s="20">
        <v>2103</v>
      </c>
      <c r="J412" t="str">
        <v>ראשון לציון</v>
      </c>
      <c r="K412" t="str">
        <v>פנל תמיכת החלטות</v>
      </c>
      <c r="L412" t="str">
        <v>משרדית</v>
      </c>
      <c r="M412">
        <v>899</v>
      </c>
      <c r="N412">
        <v>26</v>
      </c>
      <c r="P412" t="str">
        <f ca="1"/>
        <v>מכבים</v>
      </c>
      <c r="Q412" t="str">
        <f ca="1"/>
        <v>קורל דרו</v>
      </c>
      <c r="R412" t="str">
        <f ca="1"/>
        <v>שרטוט</v>
      </c>
      <c r="S412">
        <f ca="1"/>
        <v>280</v>
      </c>
      <c r="T412">
        <f ca="1"/>
        <v>4</v>
      </c>
    </row>
    <row r="413" spans="1:20">
      <c r="A413" s="18" t="s">
        <v>814</v>
      </c>
      <c r="B413" s="19" t="s">
        <v>55</v>
      </c>
      <c r="C413" s="19" t="s">
        <v>57</v>
      </c>
      <c r="D413" s="19" t="s">
        <v>58</v>
      </c>
      <c r="E413" s="19">
        <v>175</v>
      </c>
      <c r="F413" s="19">
        <v>2</v>
      </c>
      <c r="G413" s="19" t="s">
        <v>56</v>
      </c>
      <c r="H413" s="20">
        <v>16274</v>
      </c>
      <c r="J413" t="str">
        <v>ראשון לציון</v>
      </c>
      <c r="K413" t="str">
        <v>פנל תמיכת החלטות</v>
      </c>
      <c r="L413" t="str">
        <v>משרדית</v>
      </c>
      <c r="M413">
        <v>899</v>
      </c>
      <c r="N413">
        <v>2</v>
      </c>
      <c r="P413" t="str">
        <f ca="1"/>
        <v>תל אביב</v>
      </c>
      <c r="Q413" t="str">
        <f ca="1"/>
        <v>אסטאונד</v>
      </c>
      <c r="R413" t="str">
        <f ca="1"/>
        <v>מצגות</v>
      </c>
      <c r="S413">
        <f ca="1"/>
        <v>399</v>
      </c>
      <c r="T413">
        <f ca="1"/>
        <v>26</v>
      </c>
    </row>
    <row r="414" spans="1:20">
      <c r="A414" s="18" t="s">
        <v>814</v>
      </c>
      <c r="B414" s="19" t="s">
        <v>55</v>
      </c>
      <c r="C414" s="19" t="s">
        <v>42</v>
      </c>
      <c r="D414" s="19" t="s">
        <v>30</v>
      </c>
      <c r="E414" s="19">
        <v>59</v>
      </c>
      <c r="F414" s="19">
        <v>8</v>
      </c>
      <c r="G414" s="19" t="s">
        <v>56</v>
      </c>
      <c r="H414" s="20">
        <v>16718</v>
      </c>
      <c r="J414" t="str">
        <v>ראשון לציון</v>
      </c>
      <c r="K414" t="str">
        <v>קורל דרו</v>
      </c>
      <c r="L414" t="str">
        <v>שרטוט</v>
      </c>
      <c r="M414">
        <v>280</v>
      </c>
      <c r="N414">
        <v>27</v>
      </c>
      <c r="P414" t="str">
        <f ca="1"/>
        <v>מכבים</v>
      </c>
      <c r="Q414" t="str">
        <f ca="1"/>
        <v>אקסל</v>
      </c>
      <c r="R414" t="str">
        <f ca="1"/>
        <v>משרדית</v>
      </c>
      <c r="S414">
        <f ca="1"/>
        <v>555</v>
      </c>
      <c r="T414">
        <f ca="1"/>
        <v>15</v>
      </c>
    </row>
    <row r="415" spans="1:20">
      <c r="A415" s="18" t="s">
        <v>815</v>
      </c>
      <c r="B415" s="19" t="s">
        <v>28</v>
      </c>
      <c r="C415" s="19" t="s">
        <v>61</v>
      </c>
      <c r="D415" s="19" t="s">
        <v>45</v>
      </c>
      <c r="E415" s="19">
        <v>199</v>
      </c>
      <c r="F415" s="19">
        <v>26</v>
      </c>
      <c r="G415" s="19" t="s">
        <v>34</v>
      </c>
      <c r="H415" s="20">
        <v>15076</v>
      </c>
      <c r="J415" t="str">
        <v>ראשון לציון</v>
      </c>
      <c r="K415" t="str">
        <v>קורל דרו</v>
      </c>
      <c r="L415" t="str">
        <v>שרטוט</v>
      </c>
      <c r="M415">
        <v>280</v>
      </c>
      <c r="N415">
        <v>33</v>
      </c>
      <c r="P415" t="str">
        <f ca="1"/>
        <v>ראשון לציון</v>
      </c>
      <c r="Q415" t="str">
        <f ca="1"/>
        <v>פאוור פוינט</v>
      </c>
      <c r="R415" t="str">
        <f ca="1"/>
        <v>מצגות</v>
      </c>
      <c r="S415">
        <f ca="1"/>
        <v>175</v>
      </c>
      <c r="T415">
        <f ca="1"/>
        <v>14</v>
      </c>
    </row>
    <row r="416" spans="1:20">
      <c r="A416" s="18" t="s">
        <v>815</v>
      </c>
      <c r="B416" s="19" t="s">
        <v>24</v>
      </c>
      <c r="C416" s="19" t="s">
        <v>61</v>
      </c>
      <c r="D416" s="19" t="s">
        <v>45</v>
      </c>
      <c r="E416" s="19">
        <v>199</v>
      </c>
      <c r="F416" s="19">
        <v>19</v>
      </c>
      <c r="G416" s="19" t="s">
        <v>37</v>
      </c>
      <c r="H416" s="20">
        <v>13331</v>
      </c>
      <c r="J416" t="str">
        <v>ראשון לציון</v>
      </c>
      <c r="K416" t="str">
        <v>קורל דרו</v>
      </c>
      <c r="L416" t="str">
        <v>שרטוט</v>
      </c>
      <c r="M416">
        <v>280</v>
      </c>
      <c r="N416">
        <v>33</v>
      </c>
      <c r="P416" t="str">
        <f ca="1"/>
        <v>קרית שמונה</v>
      </c>
      <c r="Q416" t="str">
        <f ca="1"/>
        <v>קורל דרו</v>
      </c>
      <c r="R416" t="str">
        <f ca="1"/>
        <v>שרטוט</v>
      </c>
      <c r="S416">
        <f ca="1"/>
        <v>280</v>
      </c>
      <c r="T416">
        <f ca="1"/>
        <v>25</v>
      </c>
    </row>
    <row r="417" spans="1:20">
      <c r="A417" s="18" t="s">
        <v>815</v>
      </c>
      <c r="B417" s="19" t="s">
        <v>24</v>
      </c>
      <c r="C417" s="19" t="s">
        <v>32</v>
      </c>
      <c r="D417" s="19" t="s">
        <v>33</v>
      </c>
      <c r="E417" s="19">
        <v>499</v>
      </c>
      <c r="F417" s="19">
        <v>27</v>
      </c>
      <c r="G417" s="19" t="s">
        <v>46</v>
      </c>
      <c r="H417" s="20">
        <v>13798</v>
      </c>
      <c r="J417" t="str">
        <v>ראשון לציון</v>
      </c>
      <c r="K417" t="str">
        <v>קורל דרו</v>
      </c>
      <c r="L417" t="str">
        <v>שרטוט</v>
      </c>
      <c r="M417">
        <v>280</v>
      </c>
      <c r="N417">
        <v>26</v>
      </c>
      <c r="P417" t="str">
        <f ca="1"/>
        <v>אילת</v>
      </c>
      <c r="Q417" t="str">
        <f ca="1"/>
        <v>פאוור פוינט</v>
      </c>
      <c r="R417" t="str">
        <f ca="1"/>
        <v>מצגות</v>
      </c>
      <c r="S417">
        <f ca="1"/>
        <v>175</v>
      </c>
      <c r="T417">
        <f ca="1"/>
        <v>21</v>
      </c>
    </row>
    <row r="418" spans="1:20">
      <c r="A418" s="18">
        <v>44968</v>
      </c>
      <c r="B418" s="19" t="s">
        <v>55</v>
      </c>
      <c r="C418" s="19" t="s">
        <v>65</v>
      </c>
      <c r="D418" s="19" t="s">
        <v>58</v>
      </c>
      <c r="E418" s="19">
        <v>399</v>
      </c>
      <c r="F418" s="19">
        <v>8</v>
      </c>
      <c r="G418" s="19" t="s">
        <v>56</v>
      </c>
      <c r="H418" s="20">
        <v>1142</v>
      </c>
      <c r="J418" t="str">
        <v>ראשון לציון</v>
      </c>
      <c r="K418" t="str">
        <v>קורל דרו</v>
      </c>
      <c r="L418" t="str">
        <v>שרטוט</v>
      </c>
      <c r="M418">
        <v>280</v>
      </c>
      <c r="N418">
        <v>30</v>
      </c>
      <c r="P418" t="str">
        <f ca="1"/>
        <v>מכבים</v>
      </c>
      <c r="Q418" t="str">
        <f ca="1"/>
        <v>ווין-זיפ 8</v>
      </c>
      <c r="R418" t="str">
        <f ca="1"/>
        <v>דחיסה</v>
      </c>
      <c r="S418">
        <f ca="1"/>
        <v>199</v>
      </c>
      <c r="T418">
        <f ca="1"/>
        <v>14</v>
      </c>
    </row>
    <row r="419" spans="1:20">
      <c r="A419" s="18">
        <v>44968</v>
      </c>
      <c r="B419" s="19" t="s">
        <v>67</v>
      </c>
      <c r="C419" s="19" t="s">
        <v>35</v>
      </c>
      <c r="D419" s="19" t="s">
        <v>30</v>
      </c>
      <c r="E419" s="19">
        <v>599</v>
      </c>
      <c r="F419" s="19">
        <v>32</v>
      </c>
      <c r="G419" s="19" t="s">
        <v>74</v>
      </c>
      <c r="H419" s="20">
        <v>4634</v>
      </c>
      <c r="J419" t="str">
        <v>תל אביב</v>
      </c>
      <c r="K419" t="str">
        <v>פגפ</v>
      </c>
      <c r="L419" t="str">
        <v>אבטחה</v>
      </c>
      <c r="M419">
        <v>299</v>
      </c>
      <c r="N419">
        <v>18</v>
      </c>
      <c r="P419" t="str">
        <f ca="1"/>
        <v>ראשון לציון</v>
      </c>
      <c r="Q419" t="str">
        <f ca="1"/>
        <v>ברידג'</v>
      </c>
      <c r="R419" t="str">
        <f ca="1"/>
        <v>בידור</v>
      </c>
      <c r="S419">
        <f ca="1"/>
        <v>75</v>
      </c>
      <c r="T419">
        <f ca="1"/>
        <v>23</v>
      </c>
    </row>
    <row r="420" spans="1:20">
      <c r="A420" s="18">
        <v>44968</v>
      </c>
      <c r="B420" s="19" t="s">
        <v>28</v>
      </c>
      <c r="C420" s="19" t="s">
        <v>48</v>
      </c>
      <c r="D420" s="19" t="s">
        <v>30</v>
      </c>
      <c r="E420" s="19">
        <v>95</v>
      </c>
      <c r="F420" s="19">
        <v>14</v>
      </c>
      <c r="G420" s="19" t="s">
        <v>34</v>
      </c>
      <c r="H420" s="20">
        <v>13183</v>
      </c>
      <c r="J420" t="str">
        <v>תל אביב</v>
      </c>
      <c r="K420" t="str">
        <v>פגפ</v>
      </c>
      <c r="L420" t="str">
        <v>אבטחה</v>
      </c>
      <c r="M420">
        <v>299</v>
      </c>
      <c r="N420">
        <v>19</v>
      </c>
      <c r="P420" t="str">
        <f ca="1"/>
        <v>ירושלים</v>
      </c>
      <c r="Q420" t="str">
        <f ca="1"/>
        <v>קורל דרו</v>
      </c>
      <c r="R420" t="str">
        <f ca="1"/>
        <v>שרטוט</v>
      </c>
      <c r="S420">
        <f ca="1"/>
        <v>280</v>
      </c>
      <c r="T420">
        <f ca="1"/>
        <v>9</v>
      </c>
    </row>
    <row r="421" spans="1:20">
      <c r="A421" s="18">
        <v>45057</v>
      </c>
      <c r="B421" s="19" t="s">
        <v>28</v>
      </c>
      <c r="C421" s="19" t="s">
        <v>32</v>
      </c>
      <c r="D421" s="19" t="s">
        <v>33</v>
      </c>
      <c r="E421" s="19">
        <v>499</v>
      </c>
      <c r="F421" s="19">
        <v>6</v>
      </c>
      <c r="G421" s="19" t="s">
        <v>34</v>
      </c>
      <c r="H421" s="20">
        <v>9877</v>
      </c>
      <c r="J421" t="str">
        <v>תל אביב</v>
      </c>
      <c r="K421" t="str">
        <v>פגפ</v>
      </c>
      <c r="L421" t="str">
        <v>אבטחה</v>
      </c>
      <c r="M421">
        <v>299</v>
      </c>
      <c r="N421">
        <v>31</v>
      </c>
      <c r="P421" t="str">
        <f ca="1"/>
        <v>חיפה</v>
      </c>
      <c r="Q421" t="str">
        <f ca="1"/>
        <v>פרו-פורט</v>
      </c>
      <c r="R421" t="str">
        <f ca="1"/>
        <v>אבטחה</v>
      </c>
      <c r="S421">
        <f ca="1"/>
        <v>149</v>
      </c>
      <c r="T421">
        <f ca="1"/>
        <v>17</v>
      </c>
    </row>
    <row r="422" spans="1:20">
      <c r="A422" s="18">
        <v>45118</v>
      </c>
      <c r="B422" s="19" t="s">
        <v>67</v>
      </c>
      <c r="C422" s="19" t="s">
        <v>47</v>
      </c>
      <c r="D422" s="19" t="s">
        <v>30</v>
      </c>
      <c r="E422" s="19">
        <v>99</v>
      </c>
      <c r="F422" s="19">
        <v>15</v>
      </c>
      <c r="G422" s="19" t="s">
        <v>74</v>
      </c>
      <c r="H422" s="20">
        <v>12115</v>
      </c>
      <c r="J422" t="str">
        <v>תל אביב</v>
      </c>
      <c r="K422" t="str">
        <v>פגפ</v>
      </c>
      <c r="L422" t="str">
        <v>אבטחה</v>
      </c>
      <c r="M422">
        <v>299</v>
      </c>
      <c r="N422">
        <v>1</v>
      </c>
      <c r="P422" t="str">
        <f ca="1"/>
        <v>ירושלים</v>
      </c>
      <c r="Q422" t="str">
        <f ca="1"/>
        <v>פרו-פורט</v>
      </c>
      <c r="R422" t="str">
        <f ca="1"/>
        <v>אבטחה</v>
      </c>
      <c r="S422">
        <f ca="1"/>
        <v>149</v>
      </c>
      <c r="T422">
        <f ca="1"/>
        <v>8</v>
      </c>
    </row>
    <row r="423" spans="1:20">
      <c r="A423" s="18">
        <v>45149</v>
      </c>
      <c r="B423" s="19" t="s">
        <v>24</v>
      </c>
      <c r="C423" s="19" t="s">
        <v>53</v>
      </c>
      <c r="D423" s="19" t="s">
        <v>40</v>
      </c>
      <c r="E423" s="19">
        <v>229</v>
      </c>
      <c r="F423" s="19">
        <v>6</v>
      </c>
      <c r="G423" s="19" t="s">
        <v>37</v>
      </c>
      <c r="H423" s="20">
        <v>19608</v>
      </c>
      <c r="J423" t="str">
        <v>תל אביב</v>
      </c>
      <c r="K423" t="str">
        <v>פיירוול 1</v>
      </c>
      <c r="L423" t="str">
        <v>אבטחה</v>
      </c>
      <c r="M423">
        <v>229</v>
      </c>
      <c r="N423">
        <v>30</v>
      </c>
      <c r="P423" t="str">
        <f ca="1"/>
        <v>אילת</v>
      </c>
      <c r="Q423" t="str">
        <f ca="1"/>
        <v>פאוור פוינט</v>
      </c>
      <c r="R423" t="str">
        <f ca="1"/>
        <v>מצגות</v>
      </c>
      <c r="S423">
        <f ca="1"/>
        <v>175</v>
      </c>
      <c r="T423">
        <f ca="1"/>
        <v>25</v>
      </c>
    </row>
    <row r="424" spans="1:20">
      <c r="A424" s="18">
        <v>45210</v>
      </c>
      <c r="B424" s="19" t="s">
        <v>24</v>
      </c>
      <c r="C424" s="19" t="s">
        <v>42</v>
      </c>
      <c r="D424" s="19" t="s">
        <v>30</v>
      </c>
      <c r="E424" s="19">
        <v>59</v>
      </c>
      <c r="F424" s="19">
        <v>13</v>
      </c>
      <c r="G424" s="19" t="s">
        <v>27</v>
      </c>
      <c r="H424" s="20">
        <v>4242</v>
      </c>
      <c r="J424" t="str">
        <v>תל אביב</v>
      </c>
      <c r="K424" t="str">
        <v>פיירוול 1</v>
      </c>
      <c r="L424" t="str">
        <v>אבטחה</v>
      </c>
      <c r="M424">
        <v>229</v>
      </c>
      <c r="N424">
        <v>8</v>
      </c>
      <c r="P424" t="str">
        <f ca="1"/>
        <v>תל אביב</v>
      </c>
      <c r="Q424" t="str">
        <f ca="1"/>
        <v>ברידג'</v>
      </c>
      <c r="R424" t="str">
        <f ca="1"/>
        <v>בידור</v>
      </c>
      <c r="S424">
        <f ca="1"/>
        <v>75</v>
      </c>
      <c r="T424">
        <f ca="1"/>
        <v>20</v>
      </c>
    </row>
    <row r="425" spans="1:20">
      <c r="A425" s="18">
        <v>45241</v>
      </c>
      <c r="B425" s="19" t="s">
        <v>28</v>
      </c>
      <c r="C425" s="19" t="s">
        <v>65</v>
      </c>
      <c r="D425" s="19" t="s">
        <v>58</v>
      </c>
      <c r="E425" s="19">
        <v>399</v>
      </c>
      <c r="F425" s="19">
        <v>16</v>
      </c>
      <c r="G425" s="21" t="s">
        <v>36</v>
      </c>
      <c r="H425" s="20">
        <v>18412</v>
      </c>
      <c r="J425" t="str">
        <v>תל אביב</v>
      </c>
      <c r="K425" t="str">
        <v>פיירוול 1</v>
      </c>
      <c r="L425" t="str">
        <v>אבטחה</v>
      </c>
      <c r="M425">
        <v>229</v>
      </c>
      <c r="N425">
        <v>15</v>
      </c>
      <c r="P425" t="str">
        <f ca="1"/>
        <v>חיפה</v>
      </c>
      <c r="Q425" t="str">
        <f ca="1"/>
        <v>קורל דרו</v>
      </c>
      <c r="R425" t="str">
        <f ca="1"/>
        <v>שרטוט</v>
      </c>
      <c r="S425">
        <f ca="1"/>
        <v>280</v>
      </c>
      <c r="T425">
        <f ca="1"/>
        <v>30</v>
      </c>
    </row>
    <row r="426" spans="1:20">
      <c r="A426" s="18">
        <v>45241</v>
      </c>
      <c r="B426" s="19" t="s">
        <v>24</v>
      </c>
      <c r="C426" s="19" t="s">
        <v>42</v>
      </c>
      <c r="D426" s="19" t="s">
        <v>30</v>
      </c>
      <c r="E426" s="19">
        <v>59</v>
      </c>
      <c r="F426" s="19">
        <v>22</v>
      </c>
      <c r="G426" s="19" t="s">
        <v>76</v>
      </c>
      <c r="H426" s="20">
        <v>14565</v>
      </c>
      <c r="J426" t="str">
        <v>תל אביב</v>
      </c>
      <c r="K426" t="str">
        <v>פרו-פורט</v>
      </c>
      <c r="L426" t="str">
        <v>אבטחה</v>
      </c>
      <c r="M426">
        <v>149</v>
      </c>
      <c r="N426">
        <v>3</v>
      </c>
      <c r="P426" t="str">
        <f ca="1"/>
        <v>מכבים</v>
      </c>
      <c r="Q426" t="str">
        <f ca="1"/>
        <v>אקסל</v>
      </c>
      <c r="R426" t="str">
        <f ca="1"/>
        <v>משרדית</v>
      </c>
      <c r="S426">
        <f ca="1"/>
        <v>555</v>
      </c>
      <c r="T426">
        <f ca="1"/>
        <v>11</v>
      </c>
    </row>
    <row r="427" spans="1:20">
      <c r="A427" s="18">
        <v>45241</v>
      </c>
      <c r="B427" s="19" t="s">
        <v>38</v>
      </c>
      <c r="C427" s="19" t="s">
        <v>57</v>
      </c>
      <c r="D427" s="19" t="s">
        <v>58</v>
      </c>
      <c r="E427" s="19">
        <v>175</v>
      </c>
      <c r="F427" s="19">
        <v>4</v>
      </c>
      <c r="G427" s="19" t="s">
        <v>64</v>
      </c>
      <c r="H427" s="20">
        <v>2282</v>
      </c>
      <c r="J427" t="str">
        <v>תל אביב</v>
      </c>
      <c r="K427" t="str">
        <v>פרו-פורט</v>
      </c>
      <c r="L427" t="str">
        <v>אבטחה</v>
      </c>
      <c r="M427">
        <v>149</v>
      </c>
      <c r="N427">
        <v>8</v>
      </c>
      <c r="P427" t="str">
        <f ca="1"/>
        <v>אילת</v>
      </c>
      <c r="Q427" t="str">
        <f ca="1"/>
        <v>סוליטיר</v>
      </c>
      <c r="R427" t="str">
        <f ca="1"/>
        <v>בידור</v>
      </c>
      <c r="S427">
        <f ca="1"/>
        <v>119</v>
      </c>
      <c r="T427">
        <f ca="1"/>
        <v>6</v>
      </c>
    </row>
    <row r="428" spans="1:20">
      <c r="A428" s="18">
        <v>45241</v>
      </c>
      <c r="B428" s="19" t="s">
        <v>67</v>
      </c>
      <c r="C428" s="19" t="s">
        <v>47</v>
      </c>
      <c r="D428" s="19" t="s">
        <v>30</v>
      </c>
      <c r="E428" s="19">
        <v>99</v>
      </c>
      <c r="F428" s="19">
        <v>19</v>
      </c>
      <c r="G428" s="19" t="s">
        <v>74</v>
      </c>
      <c r="H428" s="20">
        <v>2701</v>
      </c>
      <c r="J428" t="str">
        <v>תל אביב</v>
      </c>
      <c r="K428" t="str">
        <v>פרו-פורט</v>
      </c>
      <c r="L428" t="str">
        <v>אבטחה</v>
      </c>
      <c r="M428">
        <v>149</v>
      </c>
      <c r="N428">
        <v>14</v>
      </c>
      <c r="P428" t="str">
        <f ca="1"/>
        <v>חיפה</v>
      </c>
      <c r="Q428" t="str">
        <f ca="1"/>
        <v>פרו-פורט</v>
      </c>
      <c r="R428" t="str">
        <f ca="1"/>
        <v>אבטחה</v>
      </c>
      <c r="S428">
        <f ca="1"/>
        <v>149</v>
      </c>
      <c r="T428">
        <f ca="1"/>
        <v>32</v>
      </c>
    </row>
    <row r="429" spans="1:20">
      <c r="A429" s="18">
        <v>45271</v>
      </c>
      <c r="B429" s="19" t="s">
        <v>24</v>
      </c>
      <c r="C429" s="19" t="s">
        <v>39</v>
      </c>
      <c r="D429" s="19" t="s">
        <v>40</v>
      </c>
      <c r="E429" s="19">
        <v>299</v>
      </c>
      <c r="F429" s="19">
        <v>7</v>
      </c>
      <c r="G429" s="19" t="s">
        <v>46</v>
      </c>
      <c r="H429" s="20">
        <v>9376</v>
      </c>
      <c r="J429" t="str">
        <v>תל אביב</v>
      </c>
      <c r="K429" t="str">
        <v>פרו-פורט</v>
      </c>
      <c r="L429" t="str">
        <v>אבטחה</v>
      </c>
      <c r="M429">
        <v>149</v>
      </c>
      <c r="N429">
        <v>24</v>
      </c>
      <c r="P429" t="str">
        <f ca="1"/>
        <v>חיפה</v>
      </c>
      <c r="Q429" t="str">
        <f ca="1"/>
        <v>אסטאונד</v>
      </c>
      <c r="R429" t="str">
        <f ca="1"/>
        <v>מצגות</v>
      </c>
      <c r="S429">
        <f ca="1"/>
        <v>399</v>
      </c>
      <c r="T429">
        <f ca="1"/>
        <v>15</v>
      </c>
    </row>
    <row r="430" spans="1:20">
      <c r="A430" s="18">
        <v>45271</v>
      </c>
      <c r="B430" s="19" t="s">
        <v>28</v>
      </c>
      <c r="C430" s="19" t="s">
        <v>50</v>
      </c>
      <c r="D430" s="19" t="s">
        <v>51</v>
      </c>
      <c r="E430" s="19">
        <v>139</v>
      </c>
      <c r="F430" s="19">
        <v>10</v>
      </c>
      <c r="G430" s="19" t="s">
        <v>34</v>
      </c>
      <c r="H430" s="20">
        <v>16762</v>
      </c>
      <c r="J430" t="str">
        <v>תל אביב</v>
      </c>
      <c r="K430" t="str">
        <v>איריס</v>
      </c>
      <c r="L430" t="str">
        <v>אנטיוירוס</v>
      </c>
      <c r="M430">
        <v>499</v>
      </c>
      <c r="N430">
        <v>19</v>
      </c>
      <c r="P430" t="str">
        <f ca="1"/>
        <v>תל אביב</v>
      </c>
      <c r="Q430" t="str">
        <f ca="1"/>
        <v>יודורה</v>
      </c>
      <c r="R430" t="str">
        <f ca="1"/>
        <v>משרדית</v>
      </c>
      <c r="S430">
        <f ca="1"/>
        <v>59</v>
      </c>
      <c r="T430">
        <f ca="1"/>
        <v>25</v>
      </c>
    </row>
    <row r="431" spans="1:20">
      <c r="A431" s="18">
        <v>45271</v>
      </c>
      <c r="B431" s="19" t="s">
        <v>24</v>
      </c>
      <c r="C431" s="19" t="s">
        <v>85</v>
      </c>
      <c r="D431" s="19" t="s">
        <v>51</v>
      </c>
      <c r="E431" s="19">
        <v>75</v>
      </c>
      <c r="F431" s="19">
        <v>16</v>
      </c>
      <c r="G431" s="19" t="s">
        <v>37</v>
      </c>
      <c r="H431" s="20">
        <v>6163</v>
      </c>
      <c r="J431" t="str">
        <v>תל אביב</v>
      </c>
      <c r="K431" t="str">
        <v>איריס</v>
      </c>
      <c r="L431" t="str">
        <v>אנטיוירוס</v>
      </c>
      <c r="M431">
        <v>499</v>
      </c>
      <c r="N431">
        <v>12</v>
      </c>
      <c r="P431" t="str">
        <f ca="1"/>
        <v>מכבים</v>
      </c>
      <c r="Q431" t="str">
        <f ca="1"/>
        <v>אקרובט</v>
      </c>
      <c r="R431" t="str">
        <f ca="1"/>
        <v>משרדית</v>
      </c>
      <c r="S431">
        <f ca="1"/>
        <v>599</v>
      </c>
      <c r="T431">
        <f ca="1"/>
        <v>31</v>
      </c>
    </row>
    <row r="432" spans="1:20">
      <c r="A432" s="18" t="s">
        <v>816</v>
      </c>
      <c r="B432" s="19" t="s">
        <v>38</v>
      </c>
      <c r="C432" s="19" t="s">
        <v>61</v>
      </c>
      <c r="D432" s="19" t="s">
        <v>45</v>
      </c>
      <c r="E432" s="19">
        <v>199</v>
      </c>
      <c r="F432" s="19">
        <v>17</v>
      </c>
      <c r="G432" s="19" t="s">
        <v>64</v>
      </c>
      <c r="H432" s="20">
        <v>18965</v>
      </c>
      <c r="J432" t="str">
        <v>תל אביב</v>
      </c>
      <c r="K432" t="str">
        <v>איריס</v>
      </c>
      <c r="L432" t="str">
        <v>אנטיוירוס</v>
      </c>
      <c r="M432">
        <v>499</v>
      </c>
      <c r="N432">
        <v>32</v>
      </c>
      <c r="P432" t="str">
        <f ca="1"/>
        <v>קרית שמונה</v>
      </c>
      <c r="Q432" t="str">
        <f ca="1"/>
        <v>פרו-פורט</v>
      </c>
      <c r="R432" t="str">
        <f ca="1"/>
        <v>אבטחה</v>
      </c>
      <c r="S432">
        <f ca="1"/>
        <v>149</v>
      </c>
      <c r="T432">
        <f ca="1"/>
        <v>30</v>
      </c>
    </row>
    <row r="433" spans="1:20">
      <c r="A433" s="18" t="s">
        <v>816</v>
      </c>
      <c r="B433" s="19" t="s">
        <v>67</v>
      </c>
      <c r="C433" s="19" t="s">
        <v>50</v>
      </c>
      <c r="D433" s="19" t="s">
        <v>51</v>
      </c>
      <c r="E433" s="19">
        <v>139</v>
      </c>
      <c r="F433" s="19">
        <v>16</v>
      </c>
      <c r="G433" s="19" t="s">
        <v>69</v>
      </c>
      <c r="H433" s="20">
        <v>16806</v>
      </c>
      <c r="J433" t="str">
        <v>תל אביב</v>
      </c>
      <c r="K433" t="str">
        <v>איריס</v>
      </c>
      <c r="L433" t="str">
        <v>אנטיוירוס</v>
      </c>
      <c r="M433">
        <v>499</v>
      </c>
      <c r="N433">
        <v>32</v>
      </c>
      <c r="P433" t="str">
        <f ca="1"/>
        <v>תל אביב</v>
      </c>
      <c r="Q433" t="str">
        <f ca="1"/>
        <v>ברידג'</v>
      </c>
      <c r="R433" t="str">
        <f ca="1"/>
        <v>בידור</v>
      </c>
      <c r="S433">
        <f ca="1"/>
        <v>75</v>
      </c>
      <c r="T433">
        <f ca="1"/>
        <v>8</v>
      </c>
    </row>
    <row r="434" spans="1:20">
      <c r="A434" s="18" t="s">
        <v>817</v>
      </c>
      <c r="B434" s="19" t="s">
        <v>24</v>
      </c>
      <c r="C434" s="19" t="s">
        <v>48</v>
      </c>
      <c r="D434" s="19" t="s">
        <v>30</v>
      </c>
      <c r="E434" s="19">
        <v>95</v>
      </c>
      <c r="F434" s="19">
        <v>6</v>
      </c>
      <c r="G434" s="19" t="s">
        <v>37</v>
      </c>
      <c r="H434" s="20">
        <v>15728</v>
      </c>
      <c r="J434" t="str">
        <v>תל אביב</v>
      </c>
      <c r="K434" t="str">
        <v>איריס</v>
      </c>
      <c r="L434" t="str">
        <v>אנטיוירוס</v>
      </c>
      <c r="M434">
        <v>499</v>
      </c>
      <c r="N434">
        <v>8</v>
      </c>
      <c r="P434" t="str">
        <f ca="1"/>
        <v>ירושלים</v>
      </c>
      <c r="Q434" t="str">
        <f ca="1"/>
        <v>ברידג'</v>
      </c>
      <c r="R434" t="str">
        <f ca="1"/>
        <v>בידור</v>
      </c>
      <c r="S434">
        <f ca="1"/>
        <v>75</v>
      </c>
      <c r="T434">
        <f ca="1"/>
        <v>5</v>
      </c>
    </row>
    <row r="435" spans="1:20">
      <c r="A435" s="18" t="s">
        <v>817</v>
      </c>
      <c r="B435" s="19" t="s">
        <v>55</v>
      </c>
      <c r="C435" s="19" t="s">
        <v>65</v>
      </c>
      <c r="D435" s="19" t="s">
        <v>58</v>
      </c>
      <c r="E435" s="19">
        <v>399</v>
      </c>
      <c r="F435" s="19">
        <v>14</v>
      </c>
      <c r="G435" s="19" t="s">
        <v>56</v>
      </c>
      <c r="H435" s="20">
        <v>12256</v>
      </c>
      <c r="J435" t="str">
        <v>תל אביב</v>
      </c>
      <c r="K435" t="str">
        <v>איריס</v>
      </c>
      <c r="L435" t="str">
        <v>אנטיוירוס</v>
      </c>
      <c r="M435">
        <v>499</v>
      </c>
      <c r="N435">
        <v>12</v>
      </c>
      <c r="P435" t="str">
        <f ca="1"/>
        <v>תל אביב</v>
      </c>
      <c r="Q435" t="str">
        <f ca="1"/>
        <v>פנל תמיכת החלטות</v>
      </c>
      <c r="R435" t="str">
        <f ca="1"/>
        <v>משרדית</v>
      </c>
      <c r="S435">
        <f ca="1"/>
        <v>899</v>
      </c>
      <c r="T435">
        <f ca="1"/>
        <v>21</v>
      </c>
    </row>
    <row r="436" spans="1:20">
      <c r="A436" s="18" t="s">
        <v>817</v>
      </c>
      <c r="B436" s="19" t="s">
        <v>67</v>
      </c>
      <c r="C436" s="19" t="s">
        <v>39</v>
      </c>
      <c r="D436" s="19" t="s">
        <v>40</v>
      </c>
      <c r="E436" s="19">
        <v>299</v>
      </c>
      <c r="F436" s="19">
        <v>30</v>
      </c>
      <c r="G436" s="19" t="s">
        <v>78</v>
      </c>
      <c r="H436" s="20">
        <v>7281</v>
      </c>
      <c r="J436" t="str">
        <v>תל אביב</v>
      </c>
      <c r="K436" t="str">
        <v>איריס</v>
      </c>
      <c r="L436" t="str">
        <v>אנטיוירוס</v>
      </c>
      <c r="M436">
        <v>499</v>
      </c>
      <c r="N436">
        <v>6</v>
      </c>
      <c r="P436" t="str">
        <f ca="1"/>
        <v>אילת</v>
      </c>
      <c r="Q436" t="str">
        <f ca="1"/>
        <v>אקסס</v>
      </c>
      <c r="R436" t="str">
        <f ca="1"/>
        <v>משרדית</v>
      </c>
      <c r="S436">
        <f ca="1"/>
        <v>95</v>
      </c>
      <c r="T436">
        <f ca="1"/>
        <v>16</v>
      </c>
    </row>
    <row r="437" spans="1:20">
      <c r="A437" s="18" t="s">
        <v>818</v>
      </c>
      <c r="B437" s="19" t="s">
        <v>38</v>
      </c>
      <c r="C437" s="19" t="s">
        <v>47</v>
      </c>
      <c r="D437" s="19" t="s">
        <v>30</v>
      </c>
      <c r="E437" s="19">
        <v>99</v>
      </c>
      <c r="F437" s="19">
        <v>28</v>
      </c>
      <c r="G437" s="19" t="s">
        <v>64</v>
      </c>
      <c r="H437" s="20">
        <v>11613</v>
      </c>
      <c r="J437" t="str">
        <v>תל אביב</v>
      </c>
      <c r="K437" t="str">
        <v>איריס</v>
      </c>
      <c r="L437" t="str">
        <v>אנטיוירוס</v>
      </c>
      <c r="M437">
        <v>499</v>
      </c>
      <c r="N437">
        <v>33</v>
      </c>
      <c r="P437" t="str">
        <f ca="1"/>
        <v>חיפה</v>
      </c>
      <c r="Q437" t="str">
        <f ca="1"/>
        <v>נגן ריל פלייר 1</v>
      </c>
      <c r="R437" t="str">
        <f ca="1"/>
        <v>בידור</v>
      </c>
      <c r="S437">
        <f ca="1"/>
        <v>139</v>
      </c>
      <c r="T437">
        <f ca="1"/>
        <v>16</v>
      </c>
    </row>
    <row r="438" spans="1:20">
      <c r="A438" s="18" t="s">
        <v>819</v>
      </c>
      <c r="B438" s="19" t="s">
        <v>49</v>
      </c>
      <c r="C438" s="19" t="s">
        <v>42</v>
      </c>
      <c r="D438" s="19" t="s">
        <v>30</v>
      </c>
      <c r="E438" s="19">
        <v>59</v>
      </c>
      <c r="F438" s="19">
        <v>20</v>
      </c>
      <c r="G438" s="19" t="s">
        <v>79</v>
      </c>
      <c r="H438" s="20">
        <v>15631</v>
      </c>
      <c r="J438" t="str">
        <v>תל אביב</v>
      </c>
      <c r="K438" t="str">
        <v>איריס</v>
      </c>
      <c r="L438" t="str">
        <v>אנטיוירוס</v>
      </c>
      <c r="M438">
        <v>499</v>
      </c>
      <c r="N438">
        <v>1</v>
      </c>
      <c r="P438" t="str">
        <f ca="1"/>
        <v>מכבים</v>
      </c>
      <c r="Q438" t="str">
        <f ca="1"/>
        <v>נגן ריל פלייר 1</v>
      </c>
      <c r="R438" t="str">
        <f ca="1"/>
        <v>בידור</v>
      </c>
      <c r="S438">
        <f ca="1"/>
        <v>139</v>
      </c>
      <c r="T438">
        <f ca="1"/>
        <v>5</v>
      </c>
    </row>
    <row r="439" spans="1:20">
      <c r="A439" s="18" t="s">
        <v>820</v>
      </c>
      <c r="B439" s="19" t="s">
        <v>67</v>
      </c>
      <c r="C439" s="19" t="s">
        <v>57</v>
      </c>
      <c r="D439" s="19" t="s">
        <v>58</v>
      </c>
      <c r="E439" s="19">
        <v>175</v>
      </c>
      <c r="F439" s="19">
        <v>6</v>
      </c>
      <c r="G439" s="19" t="s">
        <v>69</v>
      </c>
      <c r="H439" s="20">
        <v>6811</v>
      </c>
      <c r="J439" t="str">
        <v>תל אביב</v>
      </c>
      <c r="K439" t="str">
        <v>נורטון</v>
      </c>
      <c r="L439" t="str">
        <v>אנטיוירוס</v>
      </c>
      <c r="M439">
        <v>629</v>
      </c>
      <c r="N439">
        <v>2</v>
      </c>
      <c r="P439" t="str">
        <f ca="1"/>
        <v>מכבים</v>
      </c>
      <c r="Q439" t="str">
        <f ca="1"/>
        <v>נגן ריל פלייר 1</v>
      </c>
      <c r="R439" t="str">
        <f ca="1"/>
        <v>בידור</v>
      </c>
      <c r="S439">
        <f ca="1"/>
        <v>139</v>
      </c>
      <c r="T439">
        <f ca="1"/>
        <v>5</v>
      </c>
    </row>
    <row r="440" spans="1:20">
      <c r="A440" s="18" t="s">
        <v>821</v>
      </c>
      <c r="B440" s="19" t="s">
        <v>49</v>
      </c>
      <c r="C440" s="19" t="s">
        <v>29</v>
      </c>
      <c r="D440" s="19" t="s">
        <v>30</v>
      </c>
      <c r="E440" s="19">
        <v>899</v>
      </c>
      <c r="F440" s="19">
        <v>26</v>
      </c>
      <c r="G440" s="19" t="s">
        <v>54</v>
      </c>
      <c r="H440" s="20">
        <v>13083</v>
      </c>
      <c r="J440" t="str">
        <v>תל אביב</v>
      </c>
      <c r="K440" t="str">
        <v>נורטון</v>
      </c>
      <c r="L440" t="str">
        <v>אנטיוירוס</v>
      </c>
      <c r="M440">
        <v>629</v>
      </c>
      <c r="N440">
        <v>27</v>
      </c>
      <c r="P440" t="str">
        <f ca="1"/>
        <v>תל אביב</v>
      </c>
      <c r="Q440" t="str">
        <f ca="1"/>
        <v>וורד</v>
      </c>
      <c r="R440" t="str">
        <f ca="1"/>
        <v>משרדית</v>
      </c>
      <c r="S440">
        <f ca="1"/>
        <v>350</v>
      </c>
      <c r="T440">
        <f ca="1"/>
        <v>16</v>
      </c>
    </row>
    <row r="441" spans="1:20">
      <c r="A441" s="18" t="s">
        <v>821</v>
      </c>
      <c r="B441" s="19" t="s">
        <v>28</v>
      </c>
      <c r="C441" s="19" t="s">
        <v>57</v>
      </c>
      <c r="D441" s="19" t="s">
        <v>58</v>
      </c>
      <c r="E441" s="19">
        <v>175</v>
      </c>
      <c r="F441" s="19">
        <v>21</v>
      </c>
      <c r="G441" s="21" t="s">
        <v>36</v>
      </c>
      <c r="H441" s="20">
        <v>9195</v>
      </c>
      <c r="J441" t="str">
        <v>תל אביב</v>
      </c>
      <c r="K441" t="str">
        <v>נורטון</v>
      </c>
      <c r="L441" t="str">
        <v>אנטיוירוס</v>
      </c>
      <c r="M441">
        <v>629</v>
      </c>
      <c r="N441">
        <v>13</v>
      </c>
      <c r="P441" t="str">
        <f ca="1"/>
        <v>ירושלים</v>
      </c>
      <c r="Q441" t="str">
        <f ca="1"/>
        <v>פגפ</v>
      </c>
      <c r="R441" t="str">
        <f ca="1"/>
        <v>אבטחה</v>
      </c>
      <c r="S441">
        <f ca="1"/>
        <v>299</v>
      </c>
      <c r="T441">
        <f ca="1"/>
        <v>16</v>
      </c>
    </row>
    <row r="442" spans="1:20">
      <c r="A442" s="18" t="s">
        <v>821</v>
      </c>
      <c r="B442" s="19" t="s">
        <v>49</v>
      </c>
      <c r="C442" s="19" t="s">
        <v>25</v>
      </c>
      <c r="D442" s="19" t="s">
        <v>26</v>
      </c>
      <c r="E442" s="19">
        <v>280</v>
      </c>
      <c r="F442" s="19">
        <v>22</v>
      </c>
      <c r="G442" s="19" t="s">
        <v>52</v>
      </c>
      <c r="H442" s="20">
        <v>9473</v>
      </c>
      <c r="J442" t="str">
        <v>תל אביב</v>
      </c>
      <c r="K442" t="str">
        <v>ברידג'</v>
      </c>
      <c r="L442" t="str">
        <v>בידור</v>
      </c>
      <c r="M442">
        <v>75</v>
      </c>
      <c r="N442">
        <v>12</v>
      </c>
      <c r="P442" t="str">
        <f ca="1"/>
        <v>מכבים</v>
      </c>
      <c r="Q442" t="str">
        <f ca="1"/>
        <v>נגן ריל פלייר 1</v>
      </c>
      <c r="R442" t="str">
        <f ca="1"/>
        <v>בידור</v>
      </c>
      <c r="S442">
        <f ca="1"/>
        <v>139</v>
      </c>
      <c r="T442">
        <f ca="1"/>
        <v>20</v>
      </c>
    </row>
    <row r="443" spans="1:20">
      <c r="A443" s="18" t="s">
        <v>821</v>
      </c>
      <c r="B443" s="19" t="s">
        <v>28</v>
      </c>
      <c r="C443" s="19" t="s">
        <v>73</v>
      </c>
      <c r="D443" s="19" t="s">
        <v>51</v>
      </c>
      <c r="E443" s="19">
        <v>119</v>
      </c>
      <c r="F443" s="19">
        <v>30</v>
      </c>
      <c r="G443" s="19" t="s">
        <v>43</v>
      </c>
      <c r="H443" s="20">
        <v>10390</v>
      </c>
      <c r="J443" t="str">
        <v>תל אביב</v>
      </c>
      <c r="K443" t="str">
        <v>ברידג'</v>
      </c>
      <c r="L443" t="str">
        <v>בידור</v>
      </c>
      <c r="M443">
        <v>75</v>
      </c>
      <c r="N443">
        <v>20</v>
      </c>
      <c r="P443" t="str">
        <f ca="1"/>
        <v>תל אביב</v>
      </c>
      <c r="Q443" t="str">
        <f ca="1"/>
        <v>פגפ</v>
      </c>
      <c r="R443" t="str">
        <f ca="1"/>
        <v>אבטחה</v>
      </c>
      <c r="S443">
        <f ca="1"/>
        <v>299</v>
      </c>
      <c r="T443">
        <f ca="1"/>
        <v>19</v>
      </c>
    </row>
    <row r="444" spans="1:20">
      <c r="A444" s="18" t="s">
        <v>822</v>
      </c>
      <c r="B444" s="19" t="s">
        <v>67</v>
      </c>
      <c r="C444" s="19" t="s">
        <v>85</v>
      </c>
      <c r="D444" s="19" t="s">
        <v>51</v>
      </c>
      <c r="E444" s="19">
        <v>75</v>
      </c>
      <c r="F444" s="19">
        <v>18</v>
      </c>
      <c r="G444" s="19" t="s">
        <v>69</v>
      </c>
      <c r="H444" s="20">
        <v>19712</v>
      </c>
      <c r="J444" t="str">
        <v>תל אביב</v>
      </c>
      <c r="K444" t="str">
        <v>ברידג'</v>
      </c>
      <c r="L444" t="str">
        <v>בידור</v>
      </c>
      <c r="M444">
        <v>75</v>
      </c>
      <c r="N444">
        <v>8</v>
      </c>
      <c r="P444" t="str">
        <f ca="1"/>
        <v>תל אביב</v>
      </c>
      <c r="Q444" t="str">
        <f ca="1"/>
        <v>סוליטיר</v>
      </c>
      <c r="R444" t="str">
        <f ca="1"/>
        <v>בידור</v>
      </c>
      <c r="S444">
        <f ca="1"/>
        <v>119</v>
      </c>
      <c r="T444">
        <f ca="1"/>
        <v>1</v>
      </c>
    </row>
    <row r="445" spans="1:20">
      <c r="A445" s="18" t="s">
        <v>823</v>
      </c>
      <c r="B445" s="19" t="s">
        <v>24</v>
      </c>
      <c r="C445" s="19" t="s">
        <v>47</v>
      </c>
      <c r="D445" s="19" t="s">
        <v>30</v>
      </c>
      <c r="E445" s="19">
        <v>99</v>
      </c>
      <c r="F445" s="19">
        <v>23</v>
      </c>
      <c r="G445" s="19" t="s">
        <v>37</v>
      </c>
      <c r="H445" s="20">
        <v>7246</v>
      </c>
      <c r="J445" t="str">
        <v>תל אביב</v>
      </c>
      <c r="K445" t="str">
        <v>נגן ריל פלייר 1</v>
      </c>
      <c r="L445" t="str">
        <v>בידור</v>
      </c>
      <c r="M445">
        <v>139</v>
      </c>
      <c r="N445">
        <v>29</v>
      </c>
      <c r="P445" t="str">
        <f ca="1"/>
        <v>ראשון לציון</v>
      </c>
      <c r="Q445" t="str">
        <f ca="1"/>
        <v>וורד</v>
      </c>
      <c r="R445" t="str">
        <f ca="1"/>
        <v>משרדית</v>
      </c>
      <c r="S445">
        <f ca="1"/>
        <v>350</v>
      </c>
      <c r="T445">
        <f ca="1"/>
        <v>10</v>
      </c>
    </row>
    <row r="446" spans="1:20">
      <c r="A446" s="18" t="s">
        <v>823</v>
      </c>
      <c r="B446" s="19" t="s">
        <v>28</v>
      </c>
      <c r="C446" s="19" t="s">
        <v>32</v>
      </c>
      <c r="D446" s="19" t="s">
        <v>33</v>
      </c>
      <c r="E446" s="19">
        <v>499</v>
      </c>
      <c r="F446" s="19">
        <v>33</v>
      </c>
      <c r="G446" s="21" t="s">
        <v>36</v>
      </c>
      <c r="H446" s="20">
        <v>4395</v>
      </c>
      <c r="J446" t="str">
        <v>תל אביב</v>
      </c>
      <c r="K446" t="str">
        <v>נגן ריל פלייר 1</v>
      </c>
      <c r="L446" t="str">
        <v>בידור</v>
      </c>
      <c r="M446">
        <v>139</v>
      </c>
      <c r="N446">
        <v>23</v>
      </c>
      <c r="P446" t="str">
        <f ca="1"/>
        <v>ירושלים</v>
      </c>
      <c r="Q446" t="str">
        <f ca="1"/>
        <v>פיירוול 1</v>
      </c>
      <c r="R446" t="str">
        <f ca="1"/>
        <v>אבטחה</v>
      </c>
      <c r="S446">
        <f ca="1"/>
        <v>229</v>
      </c>
      <c r="T446">
        <f ca="1"/>
        <v>32</v>
      </c>
    </row>
    <row r="447" spans="1:20">
      <c r="A447" s="18" t="s">
        <v>824</v>
      </c>
      <c r="B447" s="19" t="s">
        <v>67</v>
      </c>
      <c r="C447" s="19" t="s">
        <v>32</v>
      </c>
      <c r="D447" s="19" t="s">
        <v>33</v>
      </c>
      <c r="E447" s="19">
        <v>499</v>
      </c>
      <c r="F447" s="19">
        <v>13</v>
      </c>
      <c r="G447" s="19" t="s">
        <v>78</v>
      </c>
      <c r="H447" s="20">
        <v>16890</v>
      </c>
      <c r="J447" t="str">
        <v>תל אביב</v>
      </c>
      <c r="K447" t="str">
        <v>נגן ריל פלייר 1</v>
      </c>
      <c r="L447" t="str">
        <v>בידור</v>
      </c>
      <c r="M447">
        <v>139</v>
      </c>
      <c r="N447">
        <v>10</v>
      </c>
      <c r="P447" t="str">
        <f ca="1"/>
        <v>ראשון לציון</v>
      </c>
      <c r="Q447" t="str">
        <f ca="1"/>
        <v>אסטאונד</v>
      </c>
      <c r="R447" t="str">
        <f ca="1"/>
        <v>מצגות</v>
      </c>
      <c r="S447">
        <f ca="1"/>
        <v>399</v>
      </c>
      <c r="T447">
        <f ca="1"/>
        <v>4</v>
      </c>
    </row>
    <row r="448" spans="1:20">
      <c r="A448" s="18" t="s">
        <v>824</v>
      </c>
      <c r="B448" s="19" t="s">
        <v>55</v>
      </c>
      <c r="C448" s="19" t="s">
        <v>50</v>
      </c>
      <c r="D448" s="19" t="s">
        <v>51</v>
      </c>
      <c r="E448" s="19">
        <v>139</v>
      </c>
      <c r="F448" s="19">
        <v>27</v>
      </c>
      <c r="G448" s="19" t="s">
        <v>56</v>
      </c>
      <c r="H448" s="20">
        <v>5470</v>
      </c>
      <c r="J448" t="str">
        <v>תל אביב</v>
      </c>
      <c r="K448" t="str">
        <v>נגן ריל פלייר 1</v>
      </c>
      <c r="L448" t="str">
        <v>בידור</v>
      </c>
      <c r="M448">
        <v>139</v>
      </c>
      <c r="N448">
        <v>13</v>
      </c>
      <c r="P448" t="str">
        <f ca="1"/>
        <v>חיפה</v>
      </c>
      <c r="Q448" t="str">
        <f ca="1"/>
        <v>פיירוול 1</v>
      </c>
      <c r="R448" t="str">
        <f ca="1"/>
        <v>אבטחה</v>
      </c>
      <c r="S448">
        <f ca="1"/>
        <v>229</v>
      </c>
      <c r="T448">
        <f ca="1"/>
        <v>32</v>
      </c>
    </row>
    <row r="449" spans="1:20">
      <c r="A449" s="18" t="s">
        <v>825</v>
      </c>
      <c r="B449" s="19" t="s">
        <v>24</v>
      </c>
      <c r="C449" s="19" t="s">
        <v>32</v>
      </c>
      <c r="D449" s="19" t="s">
        <v>33</v>
      </c>
      <c r="E449" s="19">
        <v>499</v>
      </c>
      <c r="F449" s="19">
        <v>33</v>
      </c>
      <c r="G449" s="19" t="s">
        <v>76</v>
      </c>
      <c r="H449" s="20">
        <v>11419</v>
      </c>
      <c r="J449" t="str">
        <v>תל אביב</v>
      </c>
      <c r="K449" t="str">
        <v>סוליטיר</v>
      </c>
      <c r="L449" t="str">
        <v>בידור</v>
      </c>
      <c r="M449">
        <v>119</v>
      </c>
      <c r="N449">
        <v>1</v>
      </c>
      <c r="P449" t="str">
        <f ca="1"/>
        <v>ראשון לציון</v>
      </c>
      <c r="Q449" t="str">
        <f ca="1"/>
        <v>וורד</v>
      </c>
      <c r="R449" t="str">
        <f ca="1"/>
        <v>משרדית</v>
      </c>
      <c r="S449">
        <f ca="1"/>
        <v>350</v>
      </c>
      <c r="T449">
        <f ca="1"/>
        <v>22</v>
      </c>
    </row>
    <row r="450" spans="1:20">
      <c r="A450" s="18" t="s">
        <v>825</v>
      </c>
      <c r="B450" s="19" t="s">
        <v>49</v>
      </c>
      <c r="C450" s="19" t="s">
        <v>71</v>
      </c>
      <c r="D450" s="19" t="s">
        <v>30</v>
      </c>
      <c r="E450" s="19">
        <v>555</v>
      </c>
      <c r="F450" s="19">
        <v>3</v>
      </c>
      <c r="G450" s="19" t="s">
        <v>52</v>
      </c>
      <c r="H450" s="20">
        <v>10474</v>
      </c>
      <c r="J450" t="str">
        <v>תל אביב</v>
      </c>
      <c r="K450" t="str">
        <v>סוליטיר</v>
      </c>
      <c r="L450" t="str">
        <v>בידור</v>
      </c>
      <c r="M450">
        <v>119</v>
      </c>
      <c r="N450">
        <v>22</v>
      </c>
      <c r="P450" t="str">
        <f ca="1"/>
        <v>קרית שמונה</v>
      </c>
      <c r="Q450" t="str">
        <f ca="1"/>
        <v>פנל תמיכת החלטות</v>
      </c>
      <c r="R450" t="str">
        <f ca="1"/>
        <v>משרדית</v>
      </c>
      <c r="S450">
        <f ca="1"/>
        <v>899</v>
      </c>
      <c r="T450">
        <f ca="1"/>
        <v>24</v>
      </c>
    </row>
    <row r="451" spans="1:20">
      <c r="A451" s="18" t="s">
        <v>826</v>
      </c>
      <c r="B451" s="19" t="s">
        <v>24</v>
      </c>
      <c r="C451" s="19" t="s">
        <v>71</v>
      </c>
      <c r="D451" s="19" t="s">
        <v>30</v>
      </c>
      <c r="E451" s="19">
        <v>555</v>
      </c>
      <c r="F451" s="19">
        <v>17</v>
      </c>
      <c r="G451" s="19" t="s">
        <v>46</v>
      </c>
      <c r="H451" s="20">
        <v>1191</v>
      </c>
      <c r="J451" t="str">
        <v>תל אביב</v>
      </c>
      <c r="K451" t="str">
        <v>סוליטיר</v>
      </c>
      <c r="L451" t="str">
        <v>בידור</v>
      </c>
      <c r="M451">
        <v>119</v>
      </c>
      <c r="N451">
        <v>23</v>
      </c>
      <c r="P451" t="str">
        <f ca="1"/>
        <v>מכבים</v>
      </c>
      <c r="Q451" t="str">
        <f ca="1"/>
        <v>נגן ריל פלייר 1</v>
      </c>
      <c r="R451" t="str">
        <f ca="1"/>
        <v>בידור</v>
      </c>
      <c r="S451">
        <f ca="1"/>
        <v>139</v>
      </c>
      <c r="T451">
        <f ca="1"/>
        <v>2</v>
      </c>
    </row>
    <row r="452" spans="1:20">
      <c r="A452" s="18" t="s">
        <v>827</v>
      </c>
      <c r="B452" s="19" t="s">
        <v>67</v>
      </c>
      <c r="C452" s="19" t="s">
        <v>44</v>
      </c>
      <c r="D452" s="19" t="s">
        <v>45</v>
      </c>
      <c r="E452" s="19">
        <v>99</v>
      </c>
      <c r="F452" s="19">
        <v>2</v>
      </c>
      <c r="G452" s="19" t="s">
        <v>69</v>
      </c>
      <c r="H452" s="20">
        <v>16894</v>
      </c>
      <c r="J452" t="str">
        <v>תל אביב</v>
      </c>
      <c r="K452" t="str">
        <v>סוליטיר</v>
      </c>
      <c r="L452" t="str">
        <v>בידור</v>
      </c>
      <c r="M452">
        <v>119</v>
      </c>
      <c r="N452">
        <v>20</v>
      </c>
      <c r="P452" t="str">
        <f ca="1"/>
        <v>ראשון לציון</v>
      </c>
      <c r="Q452" t="str">
        <f ca="1"/>
        <v>פאוור פוינט</v>
      </c>
      <c r="R452" t="str">
        <f ca="1"/>
        <v>מצגות</v>
      </c>
      <c r="S452">
        <f ca="1"/>
        <v>175</v>
      </c>
      <c r="T452">
        <f ca="1"/>
        <v>20</v>
      </c>
    </row>
    <row r="453" spans="1:20">
      <c r="A453" s="18" t="s">
        <v>828</v>
      </c>
      <c r="B453" s="19" t="s">
        <v>49</v>
      </c>
      <c r="C453" s="19" t="s">
        <v>53</v>
      </c>
      <c r="D453" s="19" t="s">
        <v>40</v>
      </c>
      <c r="E453" s="19">
        <v>229</v>
      </c>
      <c r="F453" s="19">
        <v>33</v>
      </c>
      <c r="G453" s="19" t="s">
        <v>54</v>
      </c>
      <c r="H453" s="20">
        <v>17799</v>
      </c>
      <c r="J453" t="str">
        <v>תל אביב</v>
      </c>
      <c r="K453" t="str">
        <v>סוליטיר</v>
      </c>
      <c r="L453" t="str">
        <v>בידור</v>
      </c>
      <c r="M453">
        <v>119</v>
      </c>
      <c r="N453">
        <v>13</v>
      </c>
      <c r="P453" t="str">
        <f ca="1"/>
        <v>תל אביב</v>
      </c>
      <c r="Q453" t="str">
        <f ca="1"/>
        <v>יודורה</v>
      </c>
      <c r="R453" t="str">
        <f ca="1"/>
        <v>משרדית</v>
      </c>
      <c r="S453">
        <f ca="1"/>
        <v>59</v>
      </c>
      <c r="T453">
        <f ca="1"/>
        <v>31</v>
      </c>
    </row>
    <row r="454" spans="1:20">
      <c r="A454" s="18" t="s">
        <v>828</v>
      </c>
      <c r="B454" s="19" t="s">
        <v>49</v>
      </c>
      <c r="C454" s="19" t="s">
        <v>57</v>
      </c>
      <c r="D454" s="19" t="s">
        <v>58</v>
      </c>
      <c r="E454" s="19">
        <v>175</v>
      </c>
      <c r="F454" s="19">
        <v>24</v>
      </c>
      <c r="G454" s="19" t="s">
        <v>52</v>
      </c>
      <c r="H454" s="20">
        <v>14170</v>
      </c>
      <c r="J454" t="str">
        <v>תל אביב</v>
      </c>
      <c r="K454" t="str">
        <v>סוליטיר</v>
      </c>
      <c r="L454" t="str">
        <v>בידור</v>
      </c>
      <c r="M454">
        <v>119</v>
      </c>
      <c r="N454">
        <v>24</v>
      </c>
      <c r="P454" t="str">
        <f ca="1"/>
        <v>ירושלים</v>
      </c>
      <c r="Q454" t="str">
        <f ca="1"/>
        <v>ווין-זיפ 8</v>
      </c>
      <c r="R454" t="str">
        <f ca="1"/>
        <v>דחיסה</v>
      </c>
      <c r="S454">
        <f ca="1"/>
        <v>199</v>
      </c>
      <c r="T454">
        <f ca="1"/>
        <v>14</v>
      </c>
    </row>
    <row r="455" spans="1:20">
      <c r="A455" s="18">
        <v>44938</v>
      </c>
      <c r="B455" s="19" t="s">
        <v>55</v>
      </c>
      <c r="C455" s="19" t="s">
        <v>32</v>
      </c>
      <c r="D455" s="19" t="s">
        <v>33</v>
      </c>
      <c r="E455" s="19">
        <v>499</v>
      </c>
      <c r="F455" s="19">
        <v>7</v>
      </c>
      <c r="G455" s="19" t="s">
        <v>56</v>
      </c>
      <c r="H455" s="20">
        <v>17188</v>
      </c>
      <c r="J455" t="str">
        <v>תל אביב</v>
      </c>
      <c r="K455" t="str">
        <v>סוליטיר</v>
      </c>
      <c r="L455" t="str">
        <v>בידור</v>
      </c>
      <c r="M455">
        <v>119</v>
      </c>
      <c r="N455">
        <v>30</v>
      </c>
      <c r="P455" t="str">
        <f ca="1"/>
        <v>ראשון לציון</v>
      </c>
      <c r="Q455" t="str">
        <f ca="1"/>
        <v>יודורה</v>
      </c>
      <c r="R455" t="str">
        <f ca="1"/>
        <v>משרדית</v>
      </c>
      <c r="S455">
        <f ca="1"/>
        <v>59</v>
      </c>
      <c r="T455">
        <f ca="1"/>
        <v>25</v>
      </c>
    </row>
    <row r="456" spans="1:20">
      <c r="A456" s="18">
        <v>44938</v>
      </c>
      <c r="B456" s="19" t="s">
        <v>38</v>
      </c>
      <c r="C456" s="19" t="s">
        <v>48</v>
      </c>
      <c r="D456" s="19" t="s">
        <v>30</v>
      </c>
      <c r="E456" s="19">
        <v>95</v>
      </c>
      <c r="F456" s="19">
        <v>8</v>
      </c>
      <c r="G456" s="19" t="s">
        <v>77</v>
      </c>
      <c r="H456" s="20">
        <v>16717</v>
      </c>
      <c r="J456" t="str">
        <v>תל אביב</v>
      </c>
      <c r="K456" t="str">
        <v>ווין-זיפ 8</v>
      </c>
      <c r="L456" t="str">
        <v>דחיסה</v>
      </c>
      <c r="M456">
        <v>199</v>
      </c>
      <c r="N456">
        <v>19</v>
      </c>
      <c r="P456" t="str">
        <f ca="1"/>
        <v>תל אביב</v>
      </c>
      <c r="Q456" t="str">
        <f ca="1"/>
        <v>פגפ</v>
      </c>
      <c r="R456" t="str">
        <f ca="1"/>
        <v>אבטחה</v>
      </c>
      <c r="S456">
        <f ca="1"/>
        <v>299</v>
      </c>
      <c r="T456">
        <f ca="1"/>
        <v>18</v>
      </c>
    </row>
    <row r="457" spans="1:20">
      <c r="A457" s="18">
        <v>44969</v>
      </c>
      <c r="B457" s="19" t="s">
        <v>28</v>
      </c>
      <c r="C457" s="19" t="s">
        <v>71</v>
      </c>
      <c r="D457" s="19" t="s">
        <v>30</v>
      </c>
      <c r="E457" s="19">
        <v>555</v>
      </c>
      <c r="F457" s="19">
        <v>9</v>
      </c>
      <c r="G457" s="19" t="s">
        <v>34</v>
      </c>
      <c r="H457" s="20">
        <v>14433</v>
      </c>
      <c r="J457" t="str">
        <v>תל אביב</v>
      </c>
      <c r="K457" t="str">
        <v>ווין-זיפ 8</v>
      </c>
      <c r="L457" t="str">
        <v>דחיסה</v>
      </c>
      <c r="M457">
        <v>199</v>
      </c>
      <c r="N457">
        <v>33</v>
      </c>
      <c r="P457" t="str">
        <f ca="1"/>
        <v>ראשון לציון</v>
      </c>
      <c r="Q457" t="str">
        <f ca="1"/>
        <v>קורל דרו</v>
      </c>
      <c r="R457" t="str">
        <f ca="1"/>
        <v>שרטוט</v>
      </c>
      <c r="S457">
        <f ca="1"/>
        <v>280</v>
      </c>
      <c r="T457">
        <f ca="1"/>
        <v>26</v>
      </c>
    </row>
    <row r="458" spans="1:20">
      <c r="A458" s="18">
        <v>45058</v>
      </c>
      <c r="B458" s="19" t="s">
        <v>55</v>
      </c>
      <c r="C458" s="19" t="s">
        <v>62</v>
      </c>
      <c r="D458" s="19" t="s">
        <v>33</v>
      </c>
      <c r="E458" s="19">
        <v>629</v>
      </c>
      <c r="F458" s="19">
        <v>28</v>
      </c>
      <c r="G458" s="19" t="s">
        <v>80</v>
      </c>
      <c r="H458" s="20">
        <v>16118</v>
      </c>
      <c r="J458" t="str">
        <v>תל אביב</v>
      </c>
      <c r="K458" t="str">
        <v>ווין-זיפ 8</v>
      </c>
      <c r="L458" t="str">
        <v>דחיסה</v>
      </c>
      <c r="M458">
        <v>199</v>
      </c>
      <c r="N458">
        <v>11</v>
      </c>
      <c r="P458" t="str">
        <f ca="1"/>
        <v>אילת</v>
      </c>
      <c r="Q458" t="str">
        <f ca="1"/>
        <v>בבילון</v>
      </c>
      <c r="R458" t="str">
        <f ca="1"/>
        <v>משרדית</v>
      </c>
      <c r="S458">
        <f ca="1"/>
        <v>99</v>
      </c>
      <c r="T458">
        <f ca="1"/>
        <v>19</v>
      </c>
    </row>
    <row r="459" spans="1:20">
      <c r="A459" s="18">
        <v>45058</v>
      </c>
      <c r="B459" s="19" t="s">
        <v>38</v>
      </c>
      <c r="C459" s="19" t="s">
        <v>75</v>
      </c>
      <c r="D459" s="19" t="s">
        <v>30</v>
      </c>
      <c r="E459" s="19">
        <v>350</v>
      </c>
      <c r="F459" s="19">
        <v>18</v>
      </c>
      <c r="G459" s="19" t="s">
        <v>64</v>
      </c>
      <c r="H459" s="20">
        <v>8820</v>
      </c>
      <c r="J459" t="str">
        <v>תל אביב</v>
      </c>
      <c r="K459" t="str">
        <v>ווין-זיפ 8</v>
      </c>
      <c r="L459" t="str">
        <v>דחיסה</v>
      </c>
      <c r="M459">
        <v>199</v>
      </c>
      <c r="N459">
        <v>30</v>
      </c>
      <c r="P459" t="str">
        <f ca="1"/>
        <v>תל אביב</v>
      </c>
      <c r="Q459" t="str">
        <f ca="1"/>
        <v>פיירוול 1</v>
      </c>
      <c r="R459" t="str">
        <f ca="1"/>
        <v>אבטחה</v>
      </c>
      <c r="S459">
        <f ca="1"/>
        <v>229</v>
      </c>
      <c r="T459">
        <f ca="1"/>
        <v>15</v>
      </c>
    </row>
    <row r="460" spans="1:20">
      <c r="A460" s="18">
        <v>45058</v>
      </c>
      <c r="B460" s="19" t="s">
        <v>38</v>
      </c>
      <c r="C460" s="19" t="s">
        <v>50</v>
      </c>
      <c r="D460" s="19" t="s">
        <v>51</v>
      </c>
      <c r="E460" s="19">
        <v>139</v>
      </c>
      <c r="F460" s="19">
        <v>10</v>
      </c>
      <c r="G460" s="19" t="s">
        <v>60</v>
      </c>
      <c r="H460" s="20">
        <v>8623</v>
      </c>
      <c r="J460" t="str">
        <v>תל אביב</v>
      </c>
      <c r="K460" t="str">
        <v>ווין-זיפ 8</v>
      </c>
      <c r="L460" t="str">
        <v>דחיסה</v>
      </c>
      <c r="M460">
        <v>199</v>
      </c>
      <c r="N460">
        <v>33</v>
      </c>
      <c r="P460" t="str">
        <f ca="1"/>
        <v>ראשון לציון</v>
      </c>
      <c r="Q460" t="str">
        <f ca="1"/>
        <v>נגן ריל פלייר 1</v>
      </c>
      <c r="R460" t="str">
        <f ca="1"/>
        <v>בידור</v>
      </c>
      <c r="S460">
        <f ca="1"/>
        <v>139</v>
      </c>
      <c r="T460">
        <f ca="1"/>
        <v>33</v>
      </c>
    </row>
    <row r="461" spans="1:20">
      <c r="A461" s="18">
        <v>45089</v>
      </c>
      <c r="B461" s="19" t="s">
        <v>38</v>
      </c>
      <c r="C461" s="19" t="s">
        <v>48</v>
      </c>
      <c r="D461" s="19" t="s">
        <v>30</v>
      </c>
      <c r="E461" s="19">
        <v>95</v>
      </c>
      <c r="F461" s="19">
        <v>23</v>
      </c>
      <c r="G461" s="19" t="s">
        <v>63</v>
      </c>
      <c r="H461" s="20">
        <v>8919</v>
      </c>
      <c r="J461" t="str">
        <v>תל אביב</v>
      </c>
      <c r="K461" t="str">
        <v>ווין-זיפ 8</v>
      </c>
      <c r="L461" t="str">
        <v>דחיסה</v>
      </c>
      <c r="M461">
        <v>199</v>
      </c>
      <c r="N461">
        <v>26</v>
      </c>
      <c r="P461" t="str">
        <f ca="1"/>
        <v>ראשון לציון</v>
      </c>
      <c r="Q461" t="str">
        <f ca="1"/>
        <v>זיפ-יט</v>
      </c>
      <c r="R461" t="str">
        <f ca="1"/>
        <v>דחיסה</v>
      </c>
      <c r="S461">
        <f ca="1"/>
        <v>99</v>
      </c>
      <c r="T461">
        <f ca="1"/>
        <v>12</v>
      </c>
    </row>
    <row r="462" spans="1:20">
      <c r="A462" s="18">
        <v>45089</v>
      </c>
      <c r="B462" s="19" t="s">
        <v>55</v>
      </c>
      <c r="C462" s="19" t="s">
        <v>57</v>
      </c>
      <c r="D462" s="19" t="s">
        <v>58</v>
      </c>
      <c r="E462" s="19">
        <v>175</v>
      </c>
      <c r="F462" s="19">
        <v>20</v>
      </c>
      <c r="G462" s="19" t="s">
        <v>80</v>
      </c>
      <c r="H462" s="20">
        <v>19544</v>
      </c>
      <c r="J462" t="str">
        <v>תל אביב</v>
      </c>
      <c r="K462" t="str">
        <v>ווין-זיפ 8</v>
      </c>
      <c r="L462" t="str">
        <v>דחיסה</v>
      </c>
      <c r="M462">
        <v>199</v>
      </c>
      <c r="N462">
        <v>32</v>
      </c>
      <c r="P462" t="str">
        <f ca="1"/>
        <v>ירושלים</v>
      </c>
      <c r="Q462" t="str">
        <f ca="1"/>
        <v>זיפ-יט</v>
      </c>
      <c r="R462" t="str">
        <f ca="1"/>
        <v>דחיסה</v>
      </c>
      <c r="S462">
        <f ca="1"/>
        <v>99</v>
      </c>
      <c r="T462">
        <f ca="1"/>
        <v>12</v>
      </c>
    </row>
    <row r="463" spans="1:20">
      <c r="A463" s="18">
        <v>45089</v>
      </c>
      <c r="B463" s="19" t="s">
        <v>81</v>
      </c>
      <c r="C463" s="19" t="s">
        <v>35</v>
      </c>
      <c r="D463" s="19" t="s">
        <v>30</v>
      </c>
      <c r="E463" s="19">
        <v>599</v>
      </c>
      <c r="F463" s="19">
        <v>9</v>
      </c>
      <c r="G463" s="19" t="s">
        <v>86</v>
      </c>
      <c r="H463" s="20">
        <v>8343</v>
      </c>
      <c r="J463" t="str">
        <v>תל אביב</v>
      </c>
      <c r="K463" t="str">
        <v>זיפ-יט</v>
      </c>
      <c r="L463" t="str">
        <v>דחיסה</v>
      </c>
      <c r="M463">
        <v>99</v>
      </c>
      <c r="N463">
        <v>7</v>
      </c>
      <c r="P463" t="str">
        <f ca="1"/>
        <v>מכבים</v>
      </c>
      <c r="Q463" t="str">
        <f ca="1"/>
        <v>נגן ריל פלייר 1</v>
      </c>
      <c r="R463" t="str">
        <f ca="1"/>
        <v>בידור</v>
      </c>
      <c r="S463">
        <f ca="1"/>
        <v>139</v>
      </c>
      <c r="T463">
        <f ca="1"/>
        <v>33</v>
      </c>
    </row>
    <row r="464" spans="1:20">
      <c r="A464" s="18">
        <v>45089</v>
      </c>
      <c r="B464" s="19" t="s">
        <v>28</v>
      </c>
      <c r="C464" s="19" t="s">
        <v>39</v>
      </c>
      <c r="D464" s="19" t="s">
        <v>40</v>
      </c>
      <c r="E464" s="19">
        <v>299</v>
      </c>
      <c r="F464" s="19">
        <v>1</v>
      </c>
      <c r="G464" s="19" t="s">
        <v>31</v>
      </c>
      <c r="H464" s="20">
        <v>12851</v>
      </c>
      <c r="J464" t="str">
        <v>תל אביב</v>
      </c>
      <c r="K464" t="str">
        <v>זיפ-יט</v>
      </c>
      <c r="L464" t="str">
        <v>דחיסה</v>
      </c>
      <c r="M464">
        <v>99</v>
      </c>
      <c r="N464">
        <v>4</v>
      </c>
      <c r="P464" t="str">
        <f ca="1"/>
        <v>קרית שמונה</v>
      </c>
      <c r="Q464" t="str">
        <f ca="1"/>
        <v>וורד</v>
      </c>
      <c r="R464" t="str">
        <f ca="1"/>
        <v>משרדית</v>
      </c>
      <c r="S464">
        <f ca="1"/>
        <v>350</v>
      </c>
      <c r="T464">
        <f ca="1"/>
        <v>22</v>
      </c>
    </row>
    <row r="465" spans="1:20">
      <c r="A465" s="18">
        <v>45119</v>
      </c>
      <c r="B465" s="19" t="s">
        <v>24</v>
      </c>
      <c r="C465" s="19" t="s">
        <v>57</v>
      </c>
      <c r="D465" s="19" t="s">
        <v>58</v>
      </c>
      <c r="E465" s="19">
        <v>175</v>
      </c>
      <c r="F465" s="19">
        <v>20</v>
      </c>
      <c r="G465" s="19" t="s">
        <v>46</v>
      </c>
      <c r="H465" s="20">
        <v>6919</v>
      </c>
      <c r="J465" t="str">
        <v>תל אביב</v>
      </c>
      <c r="K465" t="str">
        <v>זיפ-יט</v>
      </c>
      <c r="L465" t="str">
        <v>דחיסה</v>
      </c>
      <c r="M465">
        <v>99</v>
      </c>
      <c r="N465">
        <v>18</v>
      </c>
      <c r="P465" t="str">
        <f ca="1"/>
        <v>קרית שמונה</v>
      </c>
      <c r="Q465" t="str">
        <f ca="1"/>
        <v>פאוור פוינט</v>
      </c>
      <c r="R465" t="str">
        <f ca="1"/>
        <v>מצגות</v>
      </c>
      <c r="S465">
        <f ca="1"/>
        <v>175</v>
      </c>
      <c r="T465">
        <f ca="1"/>
        <v>13</v>
      </c>
    </row>
    <row r="466" spans="1:20">
      <c r="A466" s="18">
        <v>45119</v>
      </c>
      <c r="B466" s="19" t="s">
        <v>67</v>
      </c>
      <c r="C466" s="19" t="s">
        <v>57</v>
      </c>
      <c r="D466" s="19" t="s">
        <v>58</v>
      </c>
      <c r="E466" s="19">
        <v>175</v>
      </c>
      <c r="F466" s="19">
        <v>13</v>
      </c>
      <c r="G466" s="19" t="s">
        <v>78</v>
      </c>
      <c r="H466" s="20">
        <v>8378</v>
      </c>
      <c r="J466" t="str">
        <v>תל אביב</v>
      </c>
      <c r="K466" t="str">
        <v>אסטאונד</v>
      </c>
      <c r="L466" t="str">
        <v>מצגות</v>
      </c>
      <c r="M466">
        <v>399</v>
      </c>
      <c r="N466">
        <v>26</v>
      </c>
      <c r="P466" t="str">
        <f ca="1"/>
        <v>תל אביב</v>
      </c>
      <c r="Q466" t="str">
        <f ca="1"/>
        <v>ווין-זיפ 8</v>
      </c>
      <c r="R466" t="str">
        <f ca="1"/>
        <v>דחיסה</v>
      </c>
      <c r="S466">
        <f ca="1"/>
        <v>199</v>
      </c>
      <c r="T466">
        <f ca="1"/>
        <v>30</v>
      </c>
    </row>
    <row r="467" spans="1:20">
      <c r="A467" s="18">
        <v>45119</v>
      </c>
      <c r="B467" s="19" t="s">
        <v>24</v>
      </c>
      <c r="C467" s="19" t="s">
        <v>25</v>
      </c>
      <c r="D467" s="19" t="s">
        <v>26</v>
      </c>
      <c r="E467" s="19">
        <v>280</v>
      </c>
      <c r="F467" s="19">
        <v>14</v>
      </c>
      <c r="G467" s="19" t="s">
        <v>27</v>
      </c>
      <c r="H467" s="20">
        <v>10638</v>
      </c>
      <c r="J467" t="str">
        <v>תל אביב</v>
      </c>
      <c r="K467" t="str">
        <v>אסטאונד</v>
      </c>
      <c r="L467" t="str">
        <v>מצגות</v>
      </c>
      <c r="M467">
        <v>399</v>
      </c>
      <c r="N467">
        <v>18</v>
      </c>
      <c r="P467" t="str">
        <f ca="1"/>
        <v>מכבים</v>
      </c>
      <c r="Q467" t="str">
        <f ca="1"/>
        <v>ברידג'</v>
      </c>
      <c r="R467" t="str">
        <f ca="1"/>
        <v>בידור</v>
      </c>
      <c r="S467">
        <f ca="1"/>
        <v>75</v>
      </c>
      <c r="T467">
        <f ca="1"/>
        <v>14</v>
      </c>
    </row>
    <row r="468" spans="1:20">
      <c r="A468" s="18">
        <v>45119</v>
      </c>
      <c r="B468" s="19" t="s">
        <v>28</v>
      </c>
      <c r="C468" s="19" t="s">
        <v>61</v>
      </c>
      <c r="D468" s="19" t="s">
        <v>45</v>
      </c>
      <c r="E468" s="19">
        <v>199</v>
      </c>
      <c r="F468" s="19">
        <v>32</v>
      </c>
      <c r="G468" s="21" t="s">
        <v>36</v>
      </c>
      <c r="H468" s="20">
        <v>11409</v>
      </c>
      <c r="J468" t="str">
        <v>תל אביב</v>
      </c>
      <c r="K468" t="str">
        <v>אסטאונד</v>
      </c>
      <c r="L468" t="str">
        <v>מצגות</v>
      </c>
      <c r="M468">
        <v>399</v>
      </c>
      <c r="N468">
        <v>23</v>
      </c>
      <c r="P468" t="str">
        <f ca="1"/>
        <v>ראשון לציון</v>
      </c>
      <c r="Q468" t="str">
        <f ca="1"/>
        <v>פאוור פוינט</v>
      </c>
      <c r="R468" t="str">
        <f ca="1"/>
        <v>מצגות</v>
      </c>
      <c r="S468">
        <f ca="1"/>
        <v>175</v>
      </c>
      <c r="T468">
        <f ca="1"/>
        <v>4</v>
      </c>
    </row>
    <row r="469" spans="1:20">
      <c r="A469" s="18">
        <v>45211</v>
      </c>
      <c r="B469" s="19" t="s">
        <v>38</v>
      </c>
      <c r="C469" s="19" t="s">
        <v>57</v>
      </c>
      <c r="D469" s="19" t="s">
        <v>58</v>
      </c>
      <c r="E469" s="19">
        <v>175</v>
      </c>
      <c r="F469" s="19">
        <v>33</v>
      </c>
      <c r="G469" s="19" t="s">
        <v>63</v>
      </c>
      <c r="H469" s="20">
        <v>17671</v>
      </c>
      <c r="J469" t="str">
        <v>תל אביב</v>
      </c>
      <c r="K469" t="str">
        <v>אסטאונד</v>
      </c>
      <c r="L469" t="str">
        <v>מצגות</v>
      </c>
      <c r="M469">
        <v>399</v>
      </c>
      <c r="N469">
        <v>20</v>
      </c>
      <c r="P469" t="str">
        <f ca="1"/>
        <v>אילת</v>
      </c>
      <c r="Q469" t="str">
        <f ca="1"/>
        <v>אקסס</v>
      </c>
      <c r="R469" t="str">
        <f ca="1"/>
        <v>משרדית</v>
      </c>
      <c r="S469">
        <f ca="1"/>
        <v>95</v>
      </c>
      <c r="T469">
        <f ca="1"/>
        <v>30</v>
      </c>
    </row>
    <row r="470" spans="1:20">
      <c r="A470" s="18">
        <v>45211</v>
      </c>
      <c r="B470" s="19" t="s">
        <v>81</v>
      </c>
      <c r="C470" s="19" t="s">
        <v>85</v>
      </c>
      <c r="D470" s="19" t="s">
        <v>51</v>
      </c>
      <c r="E470" s="19">
        <v>75</v>
      </c>
      <c r="F470" s="19">
        <v>2</v>
      </c>
      <c r="G470" s="19" t="s">
        <v>83</v>
      </c>
      <c r="H470" s="20">
        <v>10694</v>
      </c>
      <c r="J470" t="str">
        <v>תל אביב</v>
      </c>
      <c r="K470" t="str">
        <v>אסטאונד</v>
      </c>
      <c r="L470" t="str">
        <v>מצגות</v>
      </c>
      <c r="M470">
        <v>399</v>
      </c>
      <c r="N470">
        <v>5</v>
      </c>
      <c r="P470" t="str">
        <f ca="1"/>
        <v>ירושלים</v>
      </c>
      <c r="Q470" t="str">
        <f ca="1"/>
        <v>יודורה</v>
      </c>
      <c r="R470" t="str">
        <f ca="1"/>
        <v>משרדית</v>
      </c>
      <c r="S470">
        <f ca="1"/>
        <v>59</v>
      </c>
      <c r="T470">
        <f ca="1"/>
        <v>11</v>
      </c>
    </row>
    <row r="471" spans="1:20">
      <c r="A471" s="18">
        <v>45211</v>
      </c>
      <c r="B471" s="19" t="s">
        <v>38</v>
      </c>
      <c r="C471" s="19" t="s">
        <v>61</v>
      </c>
      <c r="D471" s="19" t="s">
        <v>45</v>
      </c>
      <c r="E471" s="19">
        <v>199</v>
      </c>
      <c r="F471" s="19">
        <v>8</v>
      </c>
      <c r="G471" s="19" t="s">
        <v>64</v>
      </c>
      <c r="H471" s="20">
        <v>9242</v>
      </c>
      <c r="J471" t="str">
        <v>תל אביב</v>
      </c>
      <c r="K471" t="str">
        <v>אסטאונד</v>
      </c>
      <c r="L471" t="str">
        <v>מצגות</v>
      </c>
      <c r="M471">
        <v>399</v>
      </c>
      <c r="N471">
        <v>16</v>
      </c>
      <c r="P471" t="str">
        <f ca="1"/>
        <v>מכבים</v>
      </c>
      <c r="Q471" t="str">
        <f ca="1"/>
        <v>בבילון</v>
      </c>
      <c r="R471" t="str">
        <f ca="1"/>
        <v>משרדית</v>
      </c>
      <c r="S471">
        <f ca="1"/>
        <v>99</v>
      </c>
      <c r="T471">
        <f ca="1"/>
        <v>13</v>
      </c>
    </row>
    <row r="472" spans="1:20">
      <c r="A472" s="18" t="s">
        <v>829</v>
      </c>
      <c r="B472" s="19" t="s">
        <v>24</v>
      </c>
      <c r="C472" s="19" t="s">
        <v>61</v>
      </c>
      <c r="D472" s="19" t="s">
        <v>45</v>
      </c>
      <c r="E472" s="19">
        <v>199</v>
      </c>
      <c r="F472" s="19">
        <v>5</v>
      </c>
      <c r="G472" s="19" t="s">
        <v>87</v>
      </c>
      <c r="H472" s="20">
        <v>15159</v>
      </c>
      <c r="J472" t="str">
        <v>תל אביב</v>
      </c>
      <c r="K472" t="str">
        <v>פאוור פוינט</v>
      </c>
      <c r="L472" t="str">
        <v>מצגות</v>
      </c>
      <c r="M472">
        <v>175</v>
      </c>
      <c r="N472">
        <v>21</v>
      </c>
      <c r="P472" t="str">
        <f ca="1"/>
        <v>חיפה</v>
      </c>
      <c r="Q472" t="str">
        <f ca="1"/>
        <v>אקרובט</v>
      </c>
      <c r="R472" t="str">
        <f ca="1"/>
        <v>משרדית</v>
      </c>
      <c r="S472">
        <f ca="1"/>
        <v>599</v>
      </c>
      <c r="T472">
        <f ca="1"/>
        <v>33</v>
      </c>
    </row>
    <row r="473" spans="1:20">
      <c r="A473" s="18" t="s">
        <v>830</v>
      </c>
      <c r="B473" s="19" t="s">
        <v>38</v>
      </c>
      <c r="C473" s="19" t="s">
        <v>42</v>
      </c>
      <c r="D473" s="19" t="s">
        <v>30</v>
      </c>
      <c r="E473" s="19">
        <v>59</v>
      </c>
      <c r="F473" s="19">
        <v>31</v>
      </c>
      <c r="G473" s="19" t="s">
        <v>60</v>
      </c>
      <c r="H473" s="20">
        <v>9810</v>
      </c>
      <c r="J473" t="str">
        <v>תל אביב</v>
      </c>
      <c r="K473" t="str">
        <v>אקסל</v>
      </c>
      <c r="L473" t="str">
        <v>משרדית</v>
      </c>
      <c r="M473">
        <v>555</v>
      </c>
      <c r="N473">
        <v>33</v>
      </c>
      <c r="P473" t="str">
        <f ca="1"/>
        <v>ירושלים</v>
      </c>
      <c r="Q473" t="str">
        <f ca="1"/>
        <v>ווין-זיפ 8</v>
      </c>
      <c r="R473" t="str">
        <f ca="1"/>
        <v>דחיסה</v>
      </c>
      <c r="S473">
        <f ca="1"/>
        <v>199</v>
      </c>
      <c r="T473">
        <f ca="1"/>
        <v>30</v>
      </c>
    </row>
    <row r="474" spans="1:20">
      <c r="A474" s="18" t="s">
        <v>831</v>
      </c>
      <c r="B474" s="19" t="s">
        <v>49</v>
      </c>
      <c r="C474" s="19" t="s">
        <v>35</v>
      </c>
      <c r="D474" s="19" t="s">
        <v>30</v>
      </c>
      <c r="E474" s="19">
        <v>599</v>
      </c>
      <c r="F474" s="19">
        <v>33</v>
      </c>
      <c r="G474" s="19" t="s">
        <v>52</v>
      </c>
      <c r="H474" s="20">
        <v>2094</v>
      </c>
      <c r="J474" t="str">
        <v>תל אביב</v>
      </c>
      <c r="K474" t="str">
        <v>אקסל</v>
      </c>
      <c r="L474" t="str">
        <v>משרדית</v>
      </c>
      <c r="M474">
        <v>555</v>
      </c>
      <c r="N474">
        <v>18</v>
      </c>
      <c r="P474" t="str">
        <f ca="1"/>
        <v>ירושלים</v>
      </c>
      <c r="Q474" t="str">
        <f ca="1"/>
        <v>ווין-זיפ 8</v>
      </c>
      <c r="R474" t="str">
        <f ca="1"/>
        <v>דחיסה</v>
      </c>
      <c r="S474">
        <f ca="1"/>
        <v>199</v>
      </c>
      <c r="T474">
        <f ca="1"/>
        <v>13</v>
      </c>
    </row>
    <row r="475" spans="1:20">
      <c r="A475" s="18" t="s">
        <v>832</v>
      </c>
      <c r="B475" s="19" t="s">
        <v>38</v>
      </c>
      <c r="C475" s="19" t="s">
        <v>39</v>
      </c>
      <c r="D475" s="19" t="s">
        <v>40</v>
      </c>
      <c r="E475" s="19">
        <v>299</v>
      </c>
      <c r="F475" s="19">
        <v>28</v>
      </c>
      <c r="G475" s="19" t="s">
        <v>63</v>
      </c>
      <c r="H475" s="20">
        <v>10755</v>
      </c>
      <c r="J475" t="str">
        <v>תל אביב</v>
      </c>
      <c r="K475" t="str">
        <v>אקסל</v>
      </c>
      <c r="L475" t="str">
        <v>משרדית</v>
      </c>
      <c r="M475">
        <v>555</v>
      </c>
      <c r="N475">
        <v>26</v>
      </c>
      <c r="P475" t="str">
        <f ca="1"/>
        <v>חיפה</v>
      </c>
      <c r="Q475" t="str">
        <f ca="1"/>
        <v>איריס</v>
      </c>
      <c r="R475" t="str">
        <f ca="1"/>
        <v>אנטיוירוס</v>
      </c>
      <c r="S475">
        <f ca="1"/>
        <v>499</v>
      </c>
      <c r="T475">
        <f ca="1"/>
        <v>3</v>
      </c>
    </row>
    <row r="476" spans="1:20">
      <c r="A476" s="18" t="s">
        <v>833</v>
      </c>
      <c r="B476" s="19" t="s">
        <v>38</v>
      </c>
      <c r="C476" s="19" t="s">
        <v>44</v>
      </c>
      <c r="D476" s="19" t="s">
        <v>45</v>
      </c>
      <c r="E476" s="19">
        <v>99</v>
      </c>
      <c r="F476" s="19">
        <v>2</v>
      </c>
      <c r="G476" s="19" t="s">
        <v>41</v>
      </c>
      <c r="H476" s="20">
        <v>16486</v>
      </c>
      <c r="J476" t="str">
        <v>תל אביב</v>
      </c>
      <c r="K476" t="str">
        <v>אקסל</v>
      </c>
      <c r="L476" t="str">
        <v>משרדית</v>
      </c>
      <c r="M476">
        <v>555</v>
      </c>
      <c r="N476">
        <v>2</v>
      </c>
      <c r="P476" t="str">
        <f ca="1"/>
        <v>מכבים</v>
      </c>
      <c r="Q476" t="str">
        <f ca="1"/>
        <v>אקסל</v>
      </c>
      <c r="R476" t="str">
        <f ca="1"/>
        <v>משרדית</v>
      </c>
      <c r="S476">
        <f ca="1"/>
        <v>555</v>
      </c>
      <c r="T476">
        <f ca="1"/>
        <v>29</v>
      </c>
    </row>
    <row r="477" spans="1:20">
      <c r="A477" s="18" t="s">
        <v>834</v>
      </c>
      <c r="B477" s="19" t="s">
        <v>81</v>
      </c>
      <c r="C477" s="19" t="s">
        <v>57</v>
      </c>
      <c r="D477" s="19" t="s">
        <v>58</v>
      </c>
      <c r="E477" s="19">
        <v>175</v>
      </c>
      <c r="F477" s="19">
        <v>1</v>
      </c>
      <c r="G477" s="19" t="s">
        <v>82</v>
      </c>
      <c r="H477" s="20">
        <v>6214</v>
      </c>
      <c r="J477" t="str">
        <v>תל אביב</v>
      </c>
      <c r="K477" t="str">
        <v>אקסל</v>
      </c>
      <c r="L477" t="str">
        <v>משרדית</v>
      </c>
      <c r="M477">
        <v>555</v>
      </c>
      <c r="N477">
        <v>9</v>
      </c>
      <c r="P477" t="str">
        <f ca="1"/>
        <v>קרית שמונה</v>
      </c>
      <c r="Q477" t="str">
        <f ca="1"/>
        <v>פרו-פורט</v>
      </c>
      <c r="R477" t="str">
        <f ca="1"/>
        <v>אבטחה</v>
      </c>
      <c r="S477">
        <f ca="1"/>
        <v>149</v>
      </c>
      <c r="T477">
        <f ca="1"/>
        <v>9</v>
      </c>
    </row>
    <row r="478" spans="1:20">
      <c r="A478" s="18" t="s">
        <v>834</v>
      </c>
      <c r="B478" s="19" t="s">
        <v>49</v>
      </c>
      <c r="C478" s="19" t="s">
        <v>57</v>
      </c>
      <c r="D478" s="19" t="s">
        <v>58</v>
      </c>
      <c r="E478" s="19">
        <v>175</v>
      </c>
      <c r="F478" s="19">
        <v>18</v>
      </c>
      <c r="G478" s="19" t="s">
        <v>79</v>
      </c>
      <c r="H478" s="20">
        <v>12014</v>
      </c>
      <c r="J478" t="str">
        <v>תל אביב</v>
      </c>
      <c r="K478" t="str">
        <v>אקסס</v>
      </c>
      <c r="L478" t="str">
        <v>משרדית</v>
      </c>
      <c r="M478">
        <v>95</v>
      </c>
      <c r="N478">
        <v>18</v>
      </c>
      <c r="P478" t="str">
        <f ca="1"/>
        <v>ראשון לציון</v>
      </c>
      <c r="Q478" t="str">
        <f ca="1"/>
        <v>קורל דרו</v>
      </c>
      <c r="R478" t="str">
        <f ca="1"/>
        <v>שרטוט</v>
      </c>
      <c r="S478">
        <f ca="1"/>
        <v>280</v>
      </c>
      <c r="T478">
        <f ca="1"/>
        <v>30</v>
      </c>
    </row>
    <row r="479" spans="1:20">
      <c r="A479" s="18" t="s">
        <v>835</v>
      </c>
      <c r="B479" s="19" t="s">
        <v>49</v>
      </c>
      <c r="C479" s="19" t="s">
        <v>62</v>
      </c>
      <c r="D479" s="19" t="s">
        <v>33</v>
      </c>
      <c r="E479" s="19">
        <v>629</v>
      </c>
      <c r="F479" s="19">
        <v>22</v>
      </c>
      <c r="G479" s="19" t="s">
        <v>70</v>
      </c>
      <c r="H479" s="20">
        <v>15567</v>
      </c>
      <c r="J479" t="str">
        <v>תל אביב</v>
      </c>
      <c r="K479" t="str">
        <v>אקסס</v>
      </c>
      <c r="L479" t="str">
        <v>משרדית</v>
      </c>
      <c r="M479">
        <v>95</v>
      </c>
      <c r="N479">
        <v>15</v>
      </c>
      <c r="P479" t="str">
        <f ca="1"/>
        <v>ירושלים</v>
      </c>
      <c r="Q479" t="str">
        <f ca="1"/>
        <v>נגן ריל פלייר 1</v>
      </c>
      <c r="R479" t="str">
        <f ca="1"/>
        <v>בידור</v>
      </c>
      <c r="S479">
        <f ca="1"/>
        <v>139</v>
      </c>
      <c r="T479">
        <f ca="1"/>
        <v>32</v>
      </c>
    </row>
    <row r="480" spans="1:20">
      <c r="A480" s="18" t="s">
        <v>835</v>
      </c>
      <c r="B480" s="19" t="s">
        <v>81</v>
      </c>
      <c r="C480" s="19" t="s">
        <v>32</v>
      </c>
      <c r="D480" s="19" t="s">
        <v>33</v>
      </c>
      <c r="E480" s="19">
        <v>499</v>
      </c>
      <c r="F480" s="19">
        <v>14</v>
      </c>
      <c r="G480" s="19" t="s">
        <v>83</v>
      </c>
      <c r="H480" s="20">
        <v>7769</v>
      </c>
      <c r="J480" t="str">
        <v>תל אביב</v>
      </c>
      <c r="K480" t="str">
        <v>אקסס</v>
      </c>
      <c r="L480" t="str">
        <v>משרדית</v>
      </c>
      <c r="M480">
        <v>95</v>
      </c>
      <c r="N480">
        <v>14</v>
      </c>
      <c r="P480" t="str">
        <f ca="1"/>
        <v>מכבים</v>
      </c>
      <c r="Q480" t="str">
        <f ca="1"/>
        <v>פנל תמיכת החלטות</v>
      </c>
      <c r="R480" t="str">
        <f ca="1"/>
        <v>משרדית</v>
      </c>
      <c r="S480">
        <f ca="1"/>
        <v>899</v>
      </c>
      <c r="T480">
        <f ca="1"/>
        <v>33</v>
      </c>
    </row>
    <row r="481" spans="1:20">
      <c r="A481" s="18" t="s">
        <v>835</v>
      </c>
      <c r="B481" s="19" t="s">
        <v>81</v>
      </c>
      <c r="C481" s="19" t="s">
        <v>47</v>
      </c>
      <c r="D481" s="19" t="s">
        <v>30</v>
      </c>
      <c r="E481" s="19">
        <v>99</v>
      </c>
      <c r="F481" s="19">
        <v>1</v>
      </c>
      <c r="G481" s="19" t="s">
        <v>82</v>
      </c>
      <c r="H481" s="20">
        <v>12369</v>
      </c>
      <c r="J481" t="str">
        <v>תל אביב</v>
      </c>
      <c r="K481" t="str">
        <v>אקרובט</v>
      </c>
      <c r="L481" t="str">
        <v>משרדית</v>
      </c>
      <c r="M481">
        <v>599</v>
      </c>
      <c r="N481">
        <v>7</v>
      </c>
      <c r="P481" t="str">
        <f ca="1"/>
        <v>חיפה</v>
      </c>
      <c r="Q481" t="str">
        <f ca="1"/>
        <v>פאוור פוינט</v>
      </c>
      <c r="R481" t="str">
        <f ca="1"/>
        <v>מצגות</v>
      </c>
      <c r="S481">
        <f ca="1"/>
        <v>175</v>
      </c>
      <c r="T481">
        <f ca="1"/>
        <v>2</v>
      </c>
    </row>
    <row r="482" spans="1:20">
      <c r="A482" s="18" t="s">
        <v>835</v>
      </c>
      <c r="B482" s="19" t="s">
        <v>24</v>
      </c>
      <c r="C482" s="19" t="s">
        <v>75</v>
      </c>
      <c r="D482" s="19" t="s">
        <v>30</v>
      </c>
      <c r="E482" s="19">
        <v>350</v>
      </c>
      <c r="F482" s="19">
        <v>28</v>
      </c>
      <c r="G482" s="19" t="s">
        <v>46</v>
      </c>
      <c r="H482" s="20">
        <v>11864</v>
      </c>
      <c r="J482" t="str">
        <v>תל אביב</v>
      </c>
      <c r="K482" t="str">
        <v>אקרובט</v>
      </c>
      <c r="L482" t="str">
        <v>משרדית</v>
      </c>
      <c r="M482">
        <v>599</v>
      </c>
      <c r="N482">
        <v>19</v>
      </c>
      <c r="P482" t="str">
        <f ca="1"/>
        <v>ירושלים</v>
      </c>
      <c r="Q482" t="str">
        <f ca="1"/>
        <v>פנל תמיכת החלטות</v>
      </c>
      <c r="R482" t="str">
        <f ca="1"/>
        <v>משרדית</v>
      </c>
      <c r="S482">
        <f ca="1"/>
        <v>899</v>
      </c>
      <c r="T482">
        <f ca="1"/>
        <v>11</v>
      </c>
    </row>
    <row r="483" spans="1:20">
      <c r="A483" s="18" t="s">
        <v>835</v>
      </c>
      <c r="B483" s="19" t="s">
        <v>67</v>
      </c>
      <c r="C483" s="19" t="s">
        <v>39</v>
      </c>
      <c r="D483" s="19" t="s">
        <v>40</v>
      </c>
      <c r="E483" s="19">
        <v>299</v>
      </c>
      <c r="F483" s="19">
        <v>11</v>
      </c>
      <c r="G483" s="19" t="s">
        <v>78</v>
      </c>
      <c r="H483" s="20">
        <v>12149</v>
      </c>
      <c r="J483" t="str">
        <v>תל אביב</v>
      </c>
      <c r="K483" t="str">
        <v>אקרובט</v>
      </c>
      <c r="L483" t="str">
        <v>משרדית</v>
      </c>
      <c r="M483">
        <v>599</v>
      </c>
      <c r="N483">
        <v>4</v>
      </c>
      <c r="P483" t="str">
        <f ca="1"/>
        <v>ראשון לציון</v>
      </c>
      <c r="Q483" t="str">
        <f ca="1"/>
        <v>ווין-זיפ 8</v>
      </c>
      <c r="R483" t="str">
        <f ca="1"/>
        <v>דחיסה</v>
      </c>
      <c r="S483">
        <f ca="1"/>
        <v>199</v>
      </c>
      <c r="T483">
        <f ca="1"/>
        <v>12</v>
      </c>
    </row>
    <row r="484" spans="1:20">
      <c r="A484" s="18" t="s">
        <v>836</v>
      </c>
      <c r="B484" s="19" t="s">
        <v>49</v>
      </c>
      <c r="C484" s="19" t="s">
        <v>62</v>
      </c>
      <c r="D484" s="19" t="s">
        <v>33</v>
      </c>
      <c r="E484" s="19">
        <v>629</v>
      </c>
      <c r="F484" s="19">
        <v>22</v>
      </c>
      <c r="G484" s="19" t="s">
        <v>54</v>
      </c>
      <c r="H484" s="20">
        <v>5732</v>
      </c>
      <c r="J484" t="str">
        <v>תל אביב</v>
      </c>
      <c r="K484" t="str">
        <v>בבילון</v>
      </c>
      <c r="L484" t="str">
        <v>משרדית</v>
      </c>
      <c r="M484">
        <v>99</v>
      </c>
      <c r="N484">
        <v>21</v>
      </c>
      <c r="P484" t="str">
        <f ca="1"/>
        <v>חיפה</v>
      </c>
      <c r="Q484" t="str">
        <f ca="1"/>
        <v>סוליטיר</v>
      </c>
      <c r="R484" t="str">
        <f ca="1"/>
        <v>בידור</v>
      </c>
      <c r="S484">
        <f ca="1"/>
        <v>119</v>
      </c>
      <c r="T484">
        <f ca="1"/>
        <v>15</v>
      </c>
    </row>
    <row r="485" spans="1:20">
      <c r="A485" s="18" t="s">
        <v>837</v>
      </c>
      <c r="B485" s="19" t="s">
        <v>28</v>
      </c>
      <c r="C485" s="19" t="s">
        <v>32</v>
      </c>
      <c r="D485" s="19" t="s">
        <v>33</v>
      </c>
      <c r="E485" s="19">
        <v>499</v>
      </c>
      <c r="F485" s="19">
        <v>1</v>
      </c>
      <c r="G485" s="21" t="s">
        <v>36</v>
      </c>
      <c r="H485" s="20">
        <v>19753</v>
      </c>
      <c r="J485" t="str">
        <v>תל אביב</v>
      </c>
      <c r="K485" t="str">
        <v>וורד</v>
      </c>
      <c r="L485" t="str">
        <v>משרדית</v>
      </c>
      <c r="M485">
        <v>350</v>
      </c>
      <c r="N485">
        <v>16</v>
      </c>
      <c r="P485" t="str">
        <f ca="1"/>
        <v>ראשון לציון</v>
      </c>
      <c r="Q485" t="str">
        <f ca="1"/>
        <v>וורד</v>
      </c>
      <c r="R485" t="str">
        <f ca="1"/>
        <v>משרדית</v>
      </c>
      <c r="S485">
        <f ca="1"/>
        <v>350</v>
      </c>
      <c r="T485">
        <f ca="1"/>
        <v>30</v>
      </c>
    </row>
    <row r="486" spans="1:20">
      <c r="A486" s="18" t="s">
        <v>838</v>
      </c>
      <c r="B486" s="19" t="s">
        <v>24</v>
      </c>
      <c r="C486" s="19" t="s">
        <v>47</v>
      </c>
      <c r="D486" s="19" t="s">
        <v>30</v>
      </c>
      <c r="E486" s="19">
        <v>99</v>
      </c>
      <c r="F486" s="19">
        <v>2</v>
      </c>
      <c r="G486" s="19" t="s">
        <v>76</v>
      </c>
      <c r="H486" s="20">
        <v>3955</v>
      </c>
      <c r="J486" t="str">
        <v>תל אביב</v>
      </c>
      <c r="K486" t="str">
        <v>וורד</v>
      </c>
      <c r="L486" t="str">
        <v>משרדית</v>
      </c>
      <c r="M486">
        <v>350</v>
      </c>
      <c r="N486">
        <v>31</v>
      </c>
      <c r="P486" t="str">
        <f ca="1"/>
        <v>תל אביב</v>
      </c>
      <c r="Q486" t="str">
        <f ca="1"/>
        <v>אקסל</v>
      </c>
      <c r="R486" t="str">
        <f ca="1"/>
        <v>משרדית</v>
      </c>
      <c r="S486">
        <f ca="1"/>
        <v>555</v>
      </c>
      <c r="T486">
        <f ca="1"/>
        <v>26</v>
      </c>
    </row>
    <row r="487" spans="1:20">
      <c r="A487" s="18" t="s">
        <v>839</v>
      </c>
      <c r="B487" s="19" t="s">
        <v>24</v>
      </c>
      <c r="C487" s="19" t="s">
        <v>61</v>
      </c>
      <c r="D487" s="19" t="s">
        <v>45</v>
      </c>
      <c r="E487" s="19">
        <v>199</v>
      </c>
      <c r="F487" s="19">
        <v>14</v>
      </c>
      <c r="G487" s="19" t="s">
        <v>27</v>
      </c>
      <c r="H487" s="20">
        <v>3625</v>
      </c>
      <c r="J487" t="str">
        <v>תל אביב</v>
      </c>
      <c r="K487" t="str">
        <v>וורד</v>
      </c>
      <c r="L487" t="str">
        <v>משרדית</v>
      </c>
      <c r="M487">
        <v>350</v>
      </c>
      <c r="N487">
        <v>30</v>
      </c>
      <c r="P487" t="str">
        <f ca="1"/>
        <v>ירושלים</v>
      </c>
      <c r="Q487" t="str">
        <f ca="1"/>
        <v>בבילון</v>
      </c>
      <c r="R487" t="str">
        <f ca="1"/>
        <v>משרדית</v>
      </c>
      <c r="S487">
        <f ca="1"/>
        <v>99</v>
      </c>
      <c r="T487">
        <f ca="1"/>
        <v>10</v>
      </c>
    </row>
    <row r="488" spans="1:20">
      <c r="A488" s="18" t="s">
        <v>840</v>
      </c>
      <c r="B488" s="19" t="s">
        <v>28</v>
      </c>
      <c r="C488" s="19" t="s">
        <v>50</v>
      </c>
      <c r="D488" s="19" t="s">
        <v>51</v>
      </c>
      <c r="E488" s="19">
        <v>139</v>
      </c>
      <c r="F488" s="19">
        <v>13</v>
      </c>
      <c r="G488" s="19" t="s">
        <v>43</v>
      </c>
      <c r="H488" s="20">
        <v>13755</v>
      </c>
      <c r="J488" t="str">
        <v>תל אביב</v>
      </c>
      <c r="K488" t="str">
        <v>וורד</v>
      </c>
      <c r="L488" t="str">
        <v>משרדית</v>
      </c>
      <c r="M488">
        <v>350</v>
      </c>
      <c r="N488">
        <v>14</v>
      </c>
      <c r="P488" t="str">
        <f ca="1"/>
        <v>קרית שמונה</v>
      </c>
      <c r="Q488" t="str">
        <f ca="1"/>
        <v>סוליטיר</v>
      </c>
      <c r="R488" t="str">
        <f ca="1"/>
        <v>בידור</v>
      </c>
      <c r="S488">
        <f ca="1"/>
        <v>119</v>
      </c>
      <c r="T488">
        <f ca="1"/>
        <v>33</v>
      </c>
    </row>
    <row r="489" spans="1:20">
      <c r="A489" s="18" t="s">
        <v>840</v>
      </c>
      <c r="B489" s="19" t="s">
        <v>81</v>
      </c>
      <c r="C489" s="19" t="s">
        <v>47</v>
      </c>
      <c r="D489" s="19" t="s">
        <v>30</v>
      </c>
      <c r="E489" s="19">
        <v>99</v>
      </c>
      <c r="F489" s="19">
        <v>25</v>
      </c>
      <c r="G489" s="19" t="s">
        <v>83</v>
      </c>
      <c r="H489" s="20">
        <v>7818</v>
      </c>
      <c r="J489" t="str">
        <v>תל אביב</v>
      </c>
      <c r="K489" t="str">
        <v>וורד</v>
      </c>
      <c r="L489" t="str">
        <v>משרדית</v>
      </c>
      <c r="M489">
        <v>350</v>
      </c>
      <c r="N489">
        <v>7</v>
      </c>
      <c r="P489" t="str">
        <f ca="1"/>
        <v>אילת</v>
      </c>
      <c r="Q489" t="str">
        <f ca="1"/>
        <v>אסטאונד</v>
      </c>
      <c r="R489" t="str">
        <f ca="1"/>
        <v>מצגות</v>
      </c>
      <c r="S489">
        <f ca="1"/>
        <v>399</v>
      </c>
      <c r="T489">
        <f ca="1"/>
        <v>32</v>
      </c>
    </row>
    <row r="490" spans="1:20">
      <c r="A490" s="18" t="s">
        <v>841</v>
      </c>
      <c r="B490" s="19" t="s">
        <v>81</v>
      </c>
      <c r="C490" s="19" t="s">
        <v>39</v>
      </c>
      <c r="D490" s="19" t="s">
        <v>40</v>
      </c>
      <c r="E490" s="19">
        <v>299</v>
      </c>
      <c r="F490" s="19">
        <v>33</v>
      </c>
      <c r="G490" s="19" t="s">
        <v>82</v>
      </c>
      <c r="H490" s="20">
        <v>16959</v>
      </c>
      <c r="J490" t="str">
        <v>תל אביב</v>
      </c>
      <c r="K490" t="str">
        <v>יודורה</v>
      </c>
      <c r="L490" t="str">
        <v>משרדית</v>
      </c>
      <c r="M490">
        <v>59</v>
      </c>
      <c r="N490">
        <v>31</v>
      </c>
      <c r="P490" t="str">
        <f ca="1"/>
        <v>ירושלים</v>
      </c>
      <c r="Q490" t="str">
        <f ca="1"/>
        <v>פגפ</v>
      </c>
      <c r="R490" t="str">
        <f ca="1"/>
        <v>אבטחה</v>
      </c>
      <c r="S490">
        <f ca="1"/>
        <v>299</v>
      </c>
      <c r="T490">
        <f ca="1"/>
        <v>31</v>
      </c>
    </row>
    <row r="491" spans="1:20">
      <c r="A491" s="18" t="s">
        <v>841</v>
      </c>
      <c r="B491" s="19" t="s">
        <v>55</v>
      </c>
      <c r="C491" s="19" t="s">
        <v>61</v>
      </c>
      <c r="D491" s="19" t="s">
        <v>45</v>
      </c>
      <c r="E491" s="19">
        <v>199</v>
      </c>
      <c r="F491" s="19">
        <v>7</v>
      </c>
      <c r="G491" s="19" t="s">
        <v>56</v>
      </c>
      <c r="H491" s="20">
        <v>4524</v>
      </c>
      <c r="J491" t="str">
        <v>תל אביב</v>
      </c>
      <c r="K491" t="str">
        <v>יודורה</v>
      </c>
      <c r="L491" t="str">
        <v>משרדית</v>
      </c>
      <c r="M491">
        <v>59</v>
      </c>
      <c r="N491">
        <v>21</v>
      </c>
      <c r="P491" t="str">
        <f ca="1"/>
        <v>מכבים</v>
      </c>
      <c r="Q491" t="str">
        <f ca="1"/>
        <v>פיירוול 1</v>
      </c>
      <c r="R491" t="str">
        <f ca="1"/>
        <v>אבטחה</v>
      </c>
      <c r="S491">
        <f ca="1"/>
        <v>229</v>
      </c>
      <c r="T491">
        <f ca="1"/>
        <v>25</v>
      </c>
    </row>
    <row r="492" spans="1:20">
      <c r="A492" s="18" t="s">
        <v>841</v>
      </c>
      <c r="B492" s="19" t="s">
        <v>55</v>
      </c>
      <c r="C492" s="19" t="s">
        <v>48</v>
      </c>
      <c r="D492" s="19" t="s">
        <v>30</v>
      </c>
      <c r="E492" s="19">
        <v>95</v>
      </c>
      <c r="F492" s="19">
        <v>19</v>
      </c>
      <c r="G492" s="19" t="s">
        <v>59</v>
      </c>
      <c r="H492" s="20">
        <v>14052</v>
      </c>
      <c r="J492" t="str">
        <v>תל אביב</v>
      </c>
      <c r="K492" t="str">
        <v>יודורה</v>
      </c>
      <c r="L492" t="str">
        <v>משרדית</v>
      </c>
      <c r="M492">
        <v>59</v>
      </c>
      <c r="N492">
        <v>23</v>
      </c>
      <c r="P492" t="str">
        <f ca="1"/>
        <v>ירושלים</v>
      </c>
      <c r="Q492" t="str">
        <f ca="1"/>
        <v>אסטאונד</v>
      </c>
      <c r="R492" t="str">
        <f ca="1"/>
        <v>מצגות</v>
      </c>
      <c r="S492">
        <f ca="1"/>
        <v>399</v>
      </c>
      <c r="T492">
        <f ca="1"/>
        <v>14</v>
      </c>
    </row>
    <row r="493" spans="1:20">
      <c r="A493" s="18" t="s">
        <v>841</v>
      </c>
      <c r="B493" s="19" t="s">
        <v>81</v>
      </c>
      <c r="C493" s="19" t="s">
        <v>35</v>
      </c>
      <c r="D493" s="19" t="s">
        <v>30</v>
      </c>
      <c r="E493" s="19">
        <v>599</v>
      </c>
      <c r="F493" s="19">
        <v>14</v>
      </c>
      <c r="G493" s="19" t="s">
        <v>83</v>
      </c>
      <c r="H493" s="20">
        <v>14999</v>
      </c>
      <c r="J493" t="str">
        <v>תל אביב</v>
      </c>
      <c r="K493" t="str">
        <v>יודורה</v>
      </c>
      <c r="L493" t="str">
        <v>משרדית</v>
      </c>
      <c r="M493">
        <v>59</v>
      </c>
      <c r="N493">
        <v>25</v>
      </c>
      <c r="P493" t="str">
        <f ca="1"/>
        <v>חיפה</v>
      </c>
      <c r="Q493" t="str">
        <f ca="1"/>
        <v>קורל דרו</v>
      </c>
      <c r="R493" t="str">
        <f ca="1"/>
        <v>שרטוט</v>
      </c>
      <c r="S493">
        <f ca="1"/>
        <v>280</v>
      </c>
      <c r="T493">
        <f ca="1"/>
        <v>32</v>
      </c>
    </row>
    <row r="494" spans="1:20">
      <c r="A494" s="18" t="s">
        <v>841</v>
      </c>
      <c r="B494" s="19" t="s">
        <v>81</v>
      </c>
      <c r="C494" s="19" t="s">
        <v>68</v>
      </c>
      <c r="D494" s="19" t="s">
        <v>40</v>
      </c>
      <c r="E494" s="19">
        <v>149</v>
      </c>
      <c r="F494" s="19">
        <v>9</v>
      </c>
      <c r="G494" s="19" t="s">
        <v>82</v>
      </c>
      <c r="H494" s="20">
        <v>1948</v>
      </c>
      <c r="J494" t="str">
        <v>תל אביב</v>
      </c>
      <c r="K494" t="str">
        <v>יודורה</v>
      </c>
      <c r="L494" t="str">
        <v>משרדית</v>
      </c>
      <c r="M494">
        <v>59</v>
      </c>
      <c r="N494">
        <v>30</v>
      </c>
      <c r="P494" t="str">
        <f ca="1"/>
        <v>ראשון לציון</v>
      </c>
      <c r="Q494" t="str">
        <f ca="1"/>
        <v>אסטאונד</v>
      </c>
      <c r="R494" t="str">
        <f ca="1"/>
        <v>מצגות</v>
      </c>
      <c r="S494">
        <f ca="1"/>
        <v>399</v>
      </c>
      <c r="T494">
        <f ca="1"/>
        <v>5</v>
      </c>
    </row>
    <row r="495" spans="1:20">
      <c r="A495" s="18" t="s">
        <v>842</v>
      </c>
      <c r="B495" s="19" t="s">
        <v>55</v>
      </c>
      <c r="C495" s="19" t="s">
        <v>42</v>
      </c>
      <c r="D495" s="19" t="s">
        <v>30</v>
      </c>
      <c r="E495" s="19">
        <v>59</v>
      </c>
      <c r="F495" s="19">
        <v>24</v>
      </c>
      <c r="G495" s="19" t="s">
        <v>56</v>
      </c>
      <c r="H495" s="20">
        <v>4826</v>
      </c>
      <c r="J495" t="str">
        <v>תל אביב</v>
      </c>
      <c r="K495" t="str">
        <v>יודורה</v>
      </c>
      <c r="L495" t="str">
        <v>משרדית</v>
      </c>
      <c r="M495">
        <v>59</v>
      </c>
      <c r="N495">
        <v>25</v>
      </c>
      <c r="P495" t="str">
        <f ca="1"/>
        <v>ירושלים</v>
      </c>
      <c r="Q495" t="str">
        <f ca="1"/>
        <v>ווין-זיפ 8</v>
      </c>
      <c r="R495" t="str">
        <f ca="1"/>
        <v>דחיסה</v>
      </c>
      <c r="S495">
        <f ca="1"/>
        <v>199</v>
      </c>
      <c r="T495">
        <f ca="1"/>
        <v>26</v>
      </c>
    </row>
    <row r="496" spans="1:20">
      <c r="A496" s="18" t="s">
        <v>842</v>
      </c>
      <c r="B496" s="19" t="s">
        <v>24</v>
      </c>
      <c r="C496" s="19" t="s">
        <v>61</v>
      </c>
      <c r="D496" s="19" t="s">
        <v>45</v>
      </c>
      <c r="E496" s="19">
        <v>199</v>
      </c>
      <c r="F496" s="19">
        <v>20</v>
      </c>
      <c r="G496" s="19" t="s">
        <v>27</v>
      </c>
      <c r="H496" s="20">
        <v>16694</v>
      </c>
      <c r="J496" t="str">
        <v>תל אביב</v>
      </c>
      <c r="K496" t="str">
        <v>יודורה</v>
      </c>
      <c r="L496" t="str">
        <v>משרדית</v>
      </c>
      <c r="M496">
        <v>59</v>
      </c>
      <c r="N496">
        <v>33</v>
      </c>
      <c r="P496" t="str">
        <f ca="1"/>
        <v>מכבים</v>
      </c>
      <c r="Q496" t="str">
        <f ca="1"/>
        <v>אקסל</v>
      </c>
      <c r="R496" t="str">
        <f ca="1"/>
        <v>משרדית</v>
      </c>
      <c r="S496">
        <f ca="1"/>
        <v>555</v>
      </c>
      <c r="T496">
        <f ca="1"/>
        <v>17</v>
      </c>
    </row>
    <row r="497" spans="1:20">
      <c r="A497" s="18" t="s">
        <v>843</v>
      </c>
      <c r="B497" s="19" t="s">
        <v>24</v>
      </c>
      <c r="C497" s="19" t="s">
        <v>47</v>
      </c>
      <c r="D497" s="19" t="s">
        <v>30</v>
      </c>
      <c r="E497" s="19">
        <v>99</v>
      </c>
      <c r="F497" s="19">
        <v>24</v>
      </c>
      <c r="G497" s="19" t="s">
        <v>46</v>
      </c>
      <c r="H497" s="20">
        <v>13190</v>
      </c>
      <c r="J497" t="str">
        <v>תל אביב</v>
      </c>
      <c r="K497" t="str">
        <v>פנל תמיכת החלטות</v>
      </c>
      <c r="L497" t="str">
        <v>משרדית</v>
      </c>
      <c r="M497">
        <v>899</v>
      </c>
      <c r="N497">
        <v>21</v>
      </c>
      <c r="P497" t="str">
        <f ca="1"/>
        <v>ירושלים</v>
      </c>
      <c r="Q497" t="str">
        <f ca="1"/>
        <v>אסטאונד</v>
      </c>
      <c r="R497" t="str">
        <f ca="1"/>
        <v>מצגות</v>
      </c>
      <c r="S497">
        <f ca="1"/>
        <v>399</v>
      </c>
      <c r="T497">
        <f ca="1"/>
        <v>8</v>
      </c>
    </row>
    <row r="498" spans="1:20">
      <c r="A498" s="18" t="s">
        <v>843</v>
      </c>
      <c r="B498" s="19" t="s">
        <v>55</v>
      </c>
      <c r="C498" s="19" t="s">
        <v>29</v>
      </c>
      <c r="D498" s="19" t="s">
        <v>30</v>
      </c>
      <c r="E498" s="19">
        <v>899</v>
      </c>
      <c r="F498" s="19">
        <v>11</v>
      </c>
      <c r="G498" s="19" t="s">
        <v>80</v>
      </c>
      <c r="H498" s="20">
        <v>1720</v>
      </c>
      <c r="J498" t="str">
        <v>תל אביב</v>
      </c>
      <c r="K498" t="str">
        <v>פנל תמיכת החלטות</v>
      </c>
      <c r="L498" t="str">
        <v>משרדית</v>
      </c>
      <c r="M498">
        <v>899</v>
      </c>
      <c r="N498">
        <v>3</v>
      </c>
      <c r="P498" t="str">
        <f ca="1"/>
        <v>מכבים</v>
      </c>
      <c r="Q498" t="str">
        <f ca="1"/>
        <v>קורל דרו</v>
      </c>
      <c r="R498" t="str">
        <f ca="1"/>
        <v>שרטוט</v>
      </c>
      <c r="S498">
        <f ca="1"/>
        <v>280</v>
      </c>
      <c r="T498">
        <f ca="1"/>
        <v>7</v>
      </c>
    </row>
    <row r="499" spans="1:20">
      <c r="A499" s="18" t="s">
        <v>844</v>
      </c>
      <c r="B499" s="19" t="s">
        <v>38</v>
      </c>
      <c r="C499" s="19" t="s">
        <v>39</v>
      </c>
      <c r="D499" s="19" t="s">
        <v>40</v>
      </c>
      <c r="E499" s="19">
        <v>299</v>
      </c>
      <c r="F499" s="19">
        <v>6</v>
      </c>
      <c r="G499" s="19" t="s">
        <v>63</v>
      </c>
      <c r="H499" s="20">
        <v>15219</v>
      </c>
      <c r="J499" t="str">
        <v>תל אביב</v>
      </c>
      <c r="K499" t="str">
        <v>פנל תמיכת החלטות</v>
      </c>
      <c r="L499" t="str">
        <v>משרדית</v>
      </c>
      <c r="M499">
        <v>899</v>
      </c>
      <c r="N499">
        <v>24</v>
      </c>
      <c r="P499" t="str">
        <f ca="1"/>
        <v>חיפה</v>
      </c>
      <c r="Q499" t="str">
        <f ca="1"/>
        <v>פרו-פורט</v>
      </c>
      <c r="R499" t="str">
        <f ca="1"/>
        <v>אבטחה</v>
      </c>
      <c r="S499">
        <f ca="1"/>
        <v>149</v>
      </c>
      <c r="T499">
        <f ca="1"/>
        <v>22</v>
      </c>
    </row>
    <row r="500" spans="1:20">
      <c r="A500" s="18" t="s">
        <v>844</v>
      </c>
      <c r="B500" s="19" t="s">
        <v>24</v>
      </c>
      <c r="C500" s="19" t="s">
        <v>53</v>
      </c>
      <c r="D500" s="19" t="s">
        <v>40</v>
      </c>
      <c r="E500" s="19">
        <v>229</v>
      </c>
      <c r="F500" s="19">
        <v>30</v>
      </c>
      <c r="G500" s="19" t="s">
        <v>37</v>
      </c>
      <c r="H500" s="20">
        <v>11471</v>
      </c>
      <c r="J500" t="str">
        <v>תל אביב</v>
      </c>
      <c r="K500" t="str">
        <v>פנל תמיכת החלטות</v>
      </c>
      <c r="L500" t="str">
        <v>משרדית</v>
      </c>
      <c r="M500">
        <v>899</v>
      </c>
      <c r="N500">
        <v>6</v>
      </c>
      <c r="P500" t="str">
        <f ca="1"/>
        <v>ירושלים</v>
      </c>
      <c r="Q500" t="str">
        <f ca="1"/>
        <v>פרו-פורט</v>
      </c>
      <c r="R500" t="str">
        <f ca="1"/>
        <v>אבטחה</v>
      </c>
      <c r="S500">
        <f ca="1"/>
        <v>149</v>
      </c>
      <c r="T500">
        <f ca="1"/>
        <v>19</v>
      </c>
    </row>
    <row r="501" spans="1:20">
      <c r="A501" s="18" t="s">
        <v>844</v>
      </c>
      <c r="B501" s="19" t="s">
        <v>81</v>
      </c>
      <c r="C501" s="19" t="s">
        <v>75</v>
      </c>
      <c r="D501" s="19" t="s">
        <v>30</v>
      </c>
      <c r="E501" s="19">
        <v>350</v>
      </c>
      <c r="F501" s="19">
        <v>22</v>
      </c>
      <c r="G501" s="19" t="s">
        <v>82</v>
      </c>
      <c r="H501" s="20">
        <v>2566</v>
      </c>
      <c r="J501" t="str">
        <v>תל אביב</v>
      </c>
      <c r="K501" t="str">
        <v>קורל דרו</v>
      </c>
      <c r="L501" t="str">
        <v>שרטוט</v>
      </c>
      <c r="M501">
        <v>280</v>
      </c>
      <c r="N501">
        <v>2</v>
      </c>
      <c r="P501" t="str">
        <f ca="1"/>
        <v>ירושלים</v>
      </c>
      <c r="Q501" t="str">
        <f ca="1"/>
        <v>וורד</v>
      </c>
      <c r="R501" t="str">
        <f ca="1"/>
        <v>משרדית</v>
      </c>
      <c r="S501">
        <f ca="1"/>
        <v>350</v>
      </c>
      <c r="T501">
        <f ca="1"/>
        <v>14</v>
      </c>
    </row>
    <row r="502" spans="1:20">
      <c r="J502" t="str">
        <v>תל אביב</v>
      </c>
      <c r="K502" t="str">
        <v>קורל דרו</v>
      </c>
      <c r="L502" t="str">
        <v>שרטוט</v>
      </c>
      <c r="M502">
        <v>280</v>
      </c>
      <c r="N502">
        <v>1</v>
      </c>
      <c r="P502" t="e">
        <f ca="1"/>
        <v>#NUM!</v>
      </c>
      <c r="Q502" t="e">
        <f ca="1"/>
        <v>#NUM!</v>
      </c>
      <c r="R502" t="e">
        <f ca="1"/>
        <v>#NUM!</v>
      </c>
      <c r="S502" t="e">
        <f ca="1"/>
        <v>#NUM!</v>
      </c>
      <c r="T502" t="e">
        <f ca="1"/>
        <v>#NUM!</v>
      </c>
    </row>
  </sheetData>
  <sortState xmlns:xlrd2="http://schemas.microsoft.com/office/spreadsheetml/2017/richdata2" ref="A2:H501">
    <sortCondition ref="A11:A501"/>
  </sortState>
  <mergeCells count="3">
    <mergeCell ref="W1:W3"/>
    <mergeCell ref="W6:W8"/>
    <mergeCell ref="W11:W1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גיליון4"/>
  <dimension ref="A1:Z31"/>
  <sheetViews>
    <sheetView workbookViewId="0">
      <selection activeCell="I33" sqref="I33"/>
    </sheetView>
  </sheetViews>
  <sheetFormatPr defaultRowHeight="15"/>
  <cols>
    <col min="1" max="1" width="14.28515625" customWidth="1"/>
    <col min="2" max="2" width="12.28515625" bestFit="1" customWidth="1"/>
    <col min="3" max="3" width="10.140625" bestFit="1" customWidth="1"/>
  </cols>
  <sheetData>
    <row r="1" spans="1:26">
      <c r="A1" s="7" t="s">
        <v>551</v>
      </c>
      <c r="B1" s="7" t="s">
        <v>549</v>
      </c>
      <c r="C1" s="7" t="s">
        <v>550</v>
      </c>
      <c r="D1" s="7" t="s">
        <v>548</v>
      </c>
      <c r="Z1" s="9" t="s">
        <v>553</v>
      </c>
    </row>
    <row r="2" spans="1:26">
      <c r="A2" t="s">
        <v>83</v>
      </c>
      <c r="B2" s="26">
        <v>0.92361111111111116</v>
      </c>
      <c r="C2" s="26">
        <v>0.91875000000000007</v>
      </c>
      <c r="D2" t="str">
        <f>IF(C2&lt;=B2, "בזמן", TEXT((C2-B2)*1440, "0"))</f>
        <v>בזמן</v>
      </c>
    </row>
    <row r="3" spans="1:26">
      <c r="A3" t="s">
        <v>79</v>
      </c>
      <c r="B3" s="26">
        <v>0.86458333333333337</v>
      </c>
      <c r="C3" s="26">
        <v>0.87569444444444444</v>
      </c>
      <c r="D3" t="str">
        <f t="shared" ref="D3:D31" si="0">IF(C3&lt;=B3, "בזמן", TEXT((C3-B3)*1440, "0"))</f>
        <v>16</v>
      </c>
    </row>
    <row r="4" spans="1:26">
      <c r="A4" t="s">
        <v>64</v>
      </c>
      <c r="B4" s="26">
        <v>0.3</v>
      </c>
      <c r="C4" s="26">
        <v>0.30486111111111108</v>
      </c>
      <c r="D4" t="str">
        <f t="shared" si="0"/>
        <v>7</v>
      </c>
    </row>
    <row r="5" spans="1:26">
      <c r="A5" t="s">
        <v>41</v>
      </c>
      <c r="B5" s="26">
        <v>0.875</v>
      </c>
      <c r="C5" s="26">
        <v>0.85902777777777772</v>
      </c>
      <c r="D5" t="str">
        <f t="shared" si="0"/>
        <v>בזמן</v>
      </c>
    </row>
    <row r="6" spans="1:26">
      <c r="A6" t="s">
        <v>80</v>
      </c>
      <c r="B6" s="26">
        <v>0.33958333333333335</v>
      </c>
      <c r="C6" s="26">
        <v>0.33402777777777781</v>
      </c>
      <c r="D6" t="str">
        <f t="shared" si="0"/>
        <v>בזמן</v>
      </c>
    </row>
    <row r="7" spans="1:26">
      <c r="A7" t="s">
        <v>63</v>
      </c>
      <c r="B7" s="26">
        <v>0.9375</v>
      </c>
      <c r="C7" s="26">
        <v>0.92569444444444449</v>
      </c>
      <c r="D7" t="str">
        <f t="shared" si="0"/>
        <v>בזמן</v>
      </c>
    </row>
    <row r="8" spans="1:26">
      <c r="A8" t="s">
        <v>78</v>
      </c>
      <c r="B8" s="26">
        <v>0.23958333333333334</v>
      </c>
      <c r="C8" s="26">
        <v>0.23194444444444445</v>
      </c>
      <c r="D8" t="str">
        <f t="shared" si="0"/>
        <v>בזמן</v>
      </c>
    </row>
    <row r="9" spans="1:26">
      <c r="A9" t="s">
        <v>54</v>
      </c>
      <c r="B9" s="26">
        <v>0.99305555555555547</v>
      </c>
      <c r="C9" s="26">
        <v>0.99305555555555547</v>
      </c>
      <c r="D9" t="str">
        <f t="shared" si="0"/>
        <v>בזמן</v>
      </c>
    </row>
    <row r="10" spans="1:26">
      <c r="A10" t="s">
        <v>36</v>
      </c>
      <c r="B10" s="26">
        <v>0.33263888888888887</v>
      </c>
      <c r="C10" s="26">
        <v>0.32500000000000001</v>
      </c>
      <c r="D10" t="str">
        <f t="shared" si="0"/>
        <v>בזמן</v>
      </c>
    </row>
    <row r="11" spans="1:26">
      <c r="A11" t="s">
        <v>56</v>
      </c>
      <c r="B11" s="26">
        <v>0.31944444444444448</v>
      </c>
      <c r="C11" s="26">
        <v>0.33125000000000004</v>
      </c>
      <c r="D11" t="str">
        <f t="shared" si="0"/>
        <v>17</v>
      </c>
    </row>
    <row r="12" spans="1:26">
      <c r="A12" t="s">
        <v>43</v>
      </c>
      <c r="B12" s="26">
        <v>0.89027777777777783</v>
      </c>
      <c r="C12" s="26">
        <v>0.87430555555555567</v>
      </c>
      <c r="D12" t="str">
        <f t="shared" si="0"/>
        <v>בזמן</v>
      </c>
    </row>
    <row r="13" spans="1:26">
      <c r="A13" t="s">
        <v>66</v>
      </c>
      <c r="B13" s="26">
        <v>0.85625000000000007</v>
      </c>
      <c r="C13" s="26">
        <v>0.85486111111111118</v>
      </c>
      <c r="D13" t="str">
        <f t="shared" si="0"/>
        <v>בזמן</v>
      </c>
    </row>
    <row r="14" spans="1:26">
      <c r="A14" t="s">
        <v>46</v>
      </c>
      <c r="B14" s="26">
        <v>0.34097222222222223</v>
      </c>
      <c r="C14" s="26">
        <v>0.34027777777777779</v>
      </c>
      <c r="D14" t="str">
        <f t="shared" si="0"/>
        <v>בזמן</v>
      </c>
    </row>
    <row r="15" spans="1:26">
      <c r="A15" t="s">
        <v>34</v>
      </c>
      <c r="B15" s="26">
        <v>0.92569444444444438</v>
      </c>
      <c r="C15" s="26">
        <v>0.9145833333333333</v>
      </c>
      <c r="D15" t="str">
        <f t="shared" si="0"/>
        <v>בזמן</v>
      </c>
    </row>
    <row r="16" spans="1:26">
      <c r="A16" t="s">
        <v>31</v>
      </c>
      <c r="B16" s="26">
        <v>0.39027777777777778</v>
      </c>
      <c r="C16" s="26">
        <v>0.37847222222222221</v>
      </c>
      <c r="D16" t="str">
        <f t="shared" si="0"/>
        <v>בזמן</v>
      </c>
    </row>
    <row r="17" spans="1:4">
      <c r="A17" t="s">
        <v>59</v>
      </c>
      <c r="B17" s="26">
        <v>0.89027777777777783</v>
      </c>
      <c r="C17" s="26">
        <v>0.87222222222222223</v>
      </c>
      <c r="D17" t="str">
        <f t="shared" si="0"/>
        <v>בזמן</v>
      </c>
    </row>
    <row r="18" spans="1:4">
      <c r="A18" t="s">
        <v>52</v>
      </c>
      <c r="B18" s="26">
        <v>0.3972222222222222</v>
      </c>
      <c r="C18" s="26">
        <v>0.41111111111111109</v>
      </c>
      <c r="D18" t="str">
        <f t="shared" si="0"/>
        <v>20</v>
      </c>
    </row>
    <row r="19" spans="1:4">
      <c r="A19" t="s">
        <v>69</v>
      </c>
      <c r="B19" s="26">
        <v>0.90555555555555556</v>
      </c>
      <c r="C19" s="26">
        <v>0.8930555555555556</v>
      </c>
      <c r="D19" t="str">
        <f t="shared" si="0"/>
        <v>בזמן</v>
      </c>
    </row>
    <row r="20" spans="1:4">
      <c r="A20" t="s">
        <v>82</v>
      </c>
      <c r="B20" s="26">
        <v>0.26805555555555555</v>
      </c>
      <c r="C20" s="26">
        <v>0.25</v>
      </c>
      <c r="D20" t="str">
        <f t="shared" si="0"/>
        <v>בזמן</v>
      </c>
    </row>
    <row r="21" spans="1:4">
      <c r="A21" t="s">
        <v>37</v>
      </c>
      <c r="B21" s="26">
        <v>0.29791666666666666</v>
      </c>
      <c r="C21" s="26">
        <v>0.29236111111111113</v>
      </c>
      <c r="D21" t="str">
        <f t="shared" si="0"/>
        <v>בזמן</v>
      </c>
    </row>
    <row r="22" spans="1:4">
      <c r="A22" t="s">
        <v>87</v>
      </c>
      <c r="B22" s="26">
        <v>0.34861111111111115</v>
      </c>
      <c r="C22" s="26">
        <v>0.33402777777777781</v>
      </c>
      <c r="D22" t="str">
        <f t="shared" si="0"/>
        <v>בזמן</v>
      </c>
    </row>
    <row r="23" spans="1:4">
      <c r="A23" t="s">
        <v>27</v>
      </c>
      <c r="B23" s="26">
        <v>0.91249999999999998</v>
      </c>
      <c r="C23" s="26">
        <v>0.90208333333333335</v>
      </c>
      <c r="D23" t="str">
        <f t="shared" si="0"/>
        <v>בזמן</v>
      </c>
    </row>
    <row r="24" spans="1:4">
      <c r="A24" t="s">
        <v>74</v>
      </c>
      <c r="B24" s="26">
        <v>0.95833333333333337</v>
      </c>
      <c r="C24" s="26">
        <v>0.96597222222222223</v>
      </c>
      <c r="D24" t="str">
        <f t="shared" si="0"/>
        <v>11</v>
      </c>
    </row>
    <row r="25" spans="1:4">
      <c r="A25" t="s">
        <v>76</v>
      </c>
      <c r="B25" s="26">
        <v>0.3354166666666667</v>
      </c>
      <c r="C25" s="26">
        <v>0.3263888888888889</v>
      </c>
      <c r="D25" t="str">
        <f t="shared" si="0"/>
        <v>בזמן</v>
      </c>
    </row>
    <row r="26" spans="1:4">
      <c r="A26" t="s">
        <v>70</v>
      </c>
      <c r="B26" s="26">
        <v>0.33819444444444446</v>
      </c>
      <c r="C26" s="26">
        <v>0.33472222222222225</v>
      </c>
      <c r="D26" t="str">
        <f t="shared" si="0"/>
        <v>בזמן</v>
      </c>
    </row>
    <row r="27" spans="1:4">
      <c r="A27" t="s">
        <v>60</v>
      </c>
      <c r="B27" s="26">
        <v>0.34097222222222201</v>
      </c>
      <c r="C27" s="26">
        <v>0.33680555555555536</v>
      </c>
      <c r="D27" t="str">
        <f t="shared" si="0"/>
        <v>בזמן</v>
      </c>
    </row>
    <row r="28" spans="1:4">
      <c r="A28" t="s">
        <v>84</v>
      </c>
      <c r="B28" s="26">
        <v>0.34375</v>
      </c>
      <c r="C28" s="26">
        <v>0.33819444444444446</v>
      </c>
      <c r="D28" t="str">
        <f t="shared" si="0"/>
        <v>בזמן</v>
      </c>
    </row>
    <row r="29" spans="1:4">
      <c r="A29" t="s">
        <v>86</v>
      </c>
      <c r="B29" s="26">
        <v>0.34652777777777799</v>
      </c>
      <c r="C29" s="26">
        <v>0.36111111111111133</v>
      </c>
      <c r="D29" t="str">
        <f t="shared" si="0"/>
        <v>21</v>
      </c>
    </row>
    <row r="30" spans="1:4">
      <c r="A30" t="s">
        <v>72</v>
      </c>
      <c r="B30" s="26">
        <v>0.34930555555555498</v>
      </c>
      <c r="C30" s="26">
        <v>0.33541666666666609</v>
      </c>
      <c r="D30" t="str">
        <f t="shared" si="0"/>
        <v>בזמן</v>
      </c>
    </row>
    <row r="31" spans="1:4">
      <c r="A31" t="s">
        <v>77</v>
      </c>
      <c r="B31" s="26">
        <v>0.83333333333333337</v>
      </c>
      <c r="C31" s="26">
        <v>0.81388888888888888</v>
      </c>
      <c r="D31" t="str">
        <f t="shared" si="0"/>
        <v>בזמן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AB826-06EA-462B-A6A8-1FA052280E01}">
  <sheetPr codeName="Sheet2"/>
  <dimension ref="A1:Z660"/>
  <sheetViews>
    <sheetView workbookViewId="0">
      <selection activeCell="F1" activeCellId="2" sqref="C1:C1048576 E1:E1048576 F1:F1048576"/>
    </sheetView>
  </sheetViews>
  <sheetFormatPr defaultColWidth="15.140625" defaultRowHeight="15"/>
  <cols>
    <col min="7" max="7" width="13.140625" customWidth="1"/>
  </cols>
  <sheetData>
    <row r="1" spans="1:26" s="23" customFormat="1" ht="30">
      <c r="A1" s="27" t="s">
        <v>16</v>
      </c>
      <c r="B1" s="27" t="s">
        <v>91</v>
      </c>
      <c r="C1" s="27" t="s">
        <v>92</v>
      </c>
      <c r="D1" s="27" t="s">
        <v>93</v>
      </c>
      <c r="E1" s="27" t="s">
        <v>94</v>
      </c>
      <c r="F1" s="27" t="s">
        <v>95</v>
      </c>
      <c r="G1" s="27" t="s">
        <v>96</v>
      </c>
      <c r="H1" s="27" t="s">
        <v>97</v>
      </c>
      <c r="I1" s="27" t="s">
        <v>98</v>
      </c>
      <c r="J1" s="28" t="s">
        <v>99</v>
      </c>
      <c r="Z1" s="9" t="s">
        <v>553</v>
      </c>
    </row>
    <row r="2" spans="1:26">
      <c r="A2" s="24">
        <v>35065</v>
      </c>
      <c r="B2" t="s">
        <v>100</v>
      </c>
      <c r="C2" t="s">
        <v>101</v>
      </c>
      <c r="D2">
        <v>807</v>
      </c>
      <c r="E2" s="24">
        <v>42697</v>
      </c>
      <c r="F2" t="s">
        <v>102</v>
      </c>
      <c r="G2">
        <v>32</v>
      </c>
      <c r="H2">
        <v>124.56</v>
      </c>
      <c r="I2" s="25">
        <v>0.04</v>
      </c>
      <c r="J2" t="s">
        <v>103</v>
      </c>
      <c r="L2" t="b">
        <f>EXACT(TRIM($J2), "דואר רגיל")</f>
        <v>0</v>
      </c>
      <c r="M2" t="b">
        <f>$G2 &gt; 27</f>
        <v>1</v>
      </c>
    </row>
    <row r="3" spans="1:26">
      <c r="A3" s="24">
        <f>EDATE(A2, 0) + 14</f>
        <v>35079</v>
      </c>
      <c r="B3" t="s">
        <v>100</v>
      </c>
      <c r="C3" t="s">
        <v>104</v>
      </c>
      <c r="D3">
        <v>995</v>
      </c>
      <c r="E3" s="24">
        <v>41789</v>
      </c>
      <c r="F3" t="s">
        <v>102</v>
      </c>
      <c r="G3">
        <v>46</v>
      </c>
      <c r="H3">
        <v>1815.49</v>
      </c>
      <c r="I3" s="25">
        <v>0.03</v>
      </c>
      <c r="J3" t="s">
        <v>103</v>
      </c>
      <c r="L3" t="b">
        <f t="shared" ref="L3:L5" si="0">EXACT(TRIM($J3), "דואר רגיל")</f>
        <v>0</v>
      </c>
      <c r="M3" t="b">
        <f t="shared" ref="M3:M5" si="1">$G3 &gt; 27</f>
        <v>1</v>
      </c>
    </row>
    <row r="4" spans="1:26">
      <c r="A4" s="24">
        <f t="shared" ref="A4:A67" si="2">EDATE(A3, 0) + 14</f>
        <v>35093</v>
      </c>
      <c r="B4" t="s">
        <v>100</v>
      </c>
      <c r="C4" t="s">
        <v>105</v>
      </c>
      <c r="D4">
        <v>998</v>
      </c>
      <c r="E4" s="24">
        <v>42333</v>
      </c>
      <c r="F4" t="s">
        <v>106</v>
      </c>
      <c r="G4">
        <v>16</v>
      </c>
      <c r="H4">
        <v>248.26</v>
      </c>
      <c r="I4" s="25">
        <v>7.0000000000000007E-2</v>
      </c>
      <c r="J4" t="s">
        <v>103</v>
      </c>
      <c r="L4" t="b">
        <f t="shared" si="0"/>
        <v>0</v>
      </c>
      <c r="M4" t="b">
        <f t="shared" si="1"/>
        <v>0</v>
      </c>
    </row>
    <row r="5" spans="1:26">
      <c r="A5" s="24">
        <f t="shared" si="2"/>
        <v>35107</v>
      </c>
      <c r="B5" t="s">
        <v>100</v>
      </c>
      <c r="C5" t="s">
        <v>107</v>
      </c>
      <c r="D5">
        <v>1154</v>
      </c>
      <c r="E5" s="24">
        <v>42414</v>
      </c>
      <c r="F5" t="s">
        <v>108</v>
      </c>
      <c r="G5">
        <v>44</v>
      </c>
      <c r="H5">
        <v>4462.2299999999996</v>
      </c>
      <c r="I5" s="25">
        <v>0.04</v>
      </c>
      <c r="J5" t="s">
        <v>109</v>
      </c>
      <c r="L5" t="b">
        <f t="shared" si="0"/>
        <v>1</v>
      </c>
      <c r="M5" t="b">
        <f t="shared" si="1"/>
        <v>1</v>
      </c>
    </row>
    <row r="6" spans="1:26">
      <c r="A6" s="24">
        <f t="shared" si="2"/>
        <v>35121</v>
      </c>
      <c r="B6" t="s">
        <v>100</v>
      </c>
      <c r="C6" t="s">
        <v>110</v>
      </c>
      <c r="D6">
        <v>1540</v>
      </c>
      <c r="E6" s="24">
        <v>42586</v>
      </c>
      <c r="F6" t="s">
        <v>111</v>
      </c>
      <c r="G6">
        <v>30</v>
      </c>
      <c r="H6">
        <v>80.900000000000006</v>
      </c>
      <c r="I6" s="25">
        <v>0.09</v>
      </c>
      <c r="J6" t="s">
        <v>103</v>
      </c>
    </row>
    <row r="7" spans="1:26">
      <c r="A7" s="24">
        <f t="shared" si="2"/>
        <v>35135</v>
      </c>
      <c r="B7" t="s">
        <v>100</v>
      </c>
      <c r="C7" t="s">
        <v>112</v>
      </c>
      <c r="D7">
        <v>2791</v>
      </c>
      <c r="E7" s="24">
        <v>42286</v>
      </c>
      <c r="F7" t="s">
        <v>111</v>
      </c>
      <c r="G7">
        <v>49</v>
      </c>
      <c r="H7">
        <v>5586.33</v>
      </c>
      <c r="I7" s="25">
        <v>0.09</v>
      </c>
      <c r="J7" t="s">
        <v>109</v>
      </c>
    </row>
    <row r="8" spans="1:26">
      <c r="A8" s="24">
        <f t="shared" si="2"/>
        <v>35149</v>
      </c>
      <c r="B8" t="s">
        <v>100</v>
      </c>
      <c r="C8" t="s">
        <v>113</v>
      </c>
      <c r="D8">
        <v>2976</v>
      </c>
      <c r="E8" s="24">
        <v>42713</v>
      </c>
      <c r="F8" t="s">
        <v>106</v>
      </c>
      <c r="G8">
        <v>30</v>
      </c>
      <c r="H8">
        <v>14223.82</v>
      </c>
      <c r="I8" s="25">
        <v>0.09</v>
      </c>
      <c r="J8" t="s">
        <v>109</v>
      </c>
    </row>
    <row r="9" spans="1:26">
      <c r="A9" s="24">
        <f t="shared" si="2"/>
        <v>35163</v>
      </c>
      <c r="B9" t="s">
        <v>100</v>
      </c>
      <c r="C9" t="s">
        <v>114</v>
      </c>
      <c r="D9">
        <v>3232</v>
      </c>
      <c r="E9" s="24">
        <v>42651</v>
      </c>
      <c r="F9" t="s">
        <v>108</v>
      </c>
      <c r="G9">
        <v>5</v>
      </c>
      <c r="H9">
        <v>42.66</v>
      </c>
      <c r="I9" s="25">
        <v>0.06</v>
      </c>
      <c r="J9" t="s">
        <v>103</v>
      </c>
    </row>
    <row r="10" spans="1:26">
      <c r="A10" s="24">
        <f t="shared" si="2"/>
        <v>35177</v>
      </c>
      <c r="B10" t="s">
        <v>100</v>
      </c>
      <c r="C10" t="s">
        <v>115</v>
      </c>
      <c r="D10">
        <v>3524</v>
      </c>
      <c r="E10" s="24">
        <v>42492</v>
      </c>
      <c r="F10" t="s">
        <v>111</v>
      </c>
      <c r="G10">
        <v>21</v>
      </c>
      <c r="H10">
        <v>427.32</v>
      </c>
      <c r="I10" s="25">
        <v>0</v>
      </c>
      <c r="J10" t="s">
        <v>103</v>
      </c>
    </row>
    <row r="11" spans="1:26">
      <c r="A11" s="24">
        <f t="shared" si="2"/>
        <v>35191</v>
      </c>
      <c r="B11" t="s">
        <v>100</v>
      </c>
      <c r="C11" t="s">
        <v>116</v>
      </c>
      <c r="D11">
        <v>3908</v>
      </c>
      <c r="E11" s="24">
        <v>42437</v>
      </c>
      <c r="F11" t="s">
        <v>102</v>
      </c>
      <c r="G11">
        <v>8</v>
      </c>
      <c r="H11">
        <v>820.28399999999999</v>
      </c>
      <c r="I11" s="25">
        <v>0</v>
      </c>
      <c r="J11" t="s">
        <v>103</v>
      </c>
    </row>
    <row r="12" spans="1:26">
      <c r="A12" s="24">
        <f t="shared" si="2"/>
        <v>35205</v>
      </c>
      <c r="B12" t="s">
        <v>100</v>
      </c>
      <c r="C12" t="s">
        <v>117</v>
      </c>
      <c r="D12">
        <v>4676</v>
      </c>
      <c r="E12" s="24">
        <v>41882</v>
      </c>
      <c r="F12" t="s">
        <v>111</v>
      </c>
      <c r="G12">
        <v>11</v>
      </c>
      <c r="H12">
        <v>1210.0514999999998</v>
      </c>
      <c r="I12" s="25">
        <v>0.04</v>
      </c>
      <c r="J12" t="s">
        <v>103</v>
      </c>
    </row>
    <row r="13" spans="1:26">
      <c r="A13" s="24">
        <f t="shared" si="2"/>
        <v>35219</v>
      </c>
      <c r="B13" t="s">
        <v>100</v>
      </c>
      <c r="C13" t="s">
        <v>118</v>
      </c>
      <c r="D13">
        <v>4676</v>
      </c>
      <c r="E13" s="24">
        <v>41882</v>
      </c>
      <c r="F13" t="s">
        <v>111</v>
      </c>
      <c r="G13">
        <v>50</v>
      </c>
      <c r="H13">
        <v>187.83</v>
      </c>
      <c r="I13" s="25">
        <v>0.03</v>
      </c>
      <c r="J13" t="s">
        <v>103</v>
      </c>
    </row>
    <row r="14" spans="1:26">
      <c r="A14" s="24">
        <f t="shared" si="2"/>
        <v>35233</v>
      </c>
      <c r="B14" t="s">
        <v>100</v>
      </c>
      <c r="C14" t="s">
        <v>119</v>
      </c>
      <c r="D14">
        <v>4676</v>
      </c>
      <c r="E14" s="24">
        <v>41882</v>
      </c>
      <c r="F14" t="s">
        <v>111</v>
      </c>
      <c r="G14">
        <v>3</v>
      </c>
      <c r="H14">
        <v>49.59</v>
      </c>
      <c r="I14" s="25">
        <v>7.0000000000000007E-2</v>
      </c>
      <c r="J14" t="s">
        <v>120</v>
      </c>
    </row>
    <row r="15" spans="1:26">
      <c r="A15" s="24">
        <f t="shared" si="2"/>
        <v>35247</v>
      </c>
      <c r="B15" t="s">
        <v>100</v>
      </c>
      <c r="C15" t="s">
        <v>121</v>
      </c>
      <c r="D15">
        <v>4676</v>
      </c>
      <c r="E15" s="24">
        <v>41882</v>
      </c>
      <c r="F15" t="s">
        <v>111</v>
      </c>
      <c r="G15">
        <v>30</v>
      </c>
      <c r="H15">
        <v>4253.009</v>
      </c>
      <c r="I15" s="25">
        <v>0.01</v>
      </c>
      <c r="J15" t="s">
        <v>103</v>
      </c>
    </row>
    <row r="16" spans="1:26">
      <c r="A16" s="24">
        <f t="shared" si="2"/>
        <v>35261</v>
      </c>
      <c r="B16" t="s">
        <v>100</v>
      </c>
      <c r="C16" t="s">
        <v>122</v>
      </c>
      <c r="D16">
        <v>5284</v>
      </c>
      <c r="E16" s="24">
        <v>41828</v>
      </c>
      <c r="F16" t="s">
        <v>106</v>
      </c>
      <c r="G16">
        <v>7</v>
      </c>
      <c r="H16">
        <v>59.38</v>
      </c>
      <c r="I16" s="25">
        <v>0.1</v>
      </c>
      <c r="J16" t="s">
        <v>103</v>
      </c>
    </row>
    <row r="17" spans="1:10">
      <c r="A17" s="24">
        <f t="shared" si="2"/>
        <v>35275</v>
      </c>
      <c r="B17" t="s">
        <v>100</v>
      </c>
      <c r="C17" t="s">
        <v>123</v>
      </c>
      <c r="D17">
        <v>5316</v>
      </c>
      <c r="E17" s="24">
        <v>42034</v>
      </c>
      <c r="F17" t="s">
        <v>108</v>
      </c>
      <c r="G17">
        <v>42</v>
      </c>
      <c r="H17">
        <v>1285.3699999999999</v>
      </c>
      <c r="I17" s="25">
        <v>0.1</v>
      </c>
      <c r="J17" t="s">
        <v>103</v>
      </c>
    </row>
    <row r="18" spans="1:10">
      <c r="A18" s="24">
        <f t="shared" si="2"/>
        <v>35289</v>
      </c>
      <c r="B18" t="s">
        <v>100</v>
      </c>
      <c r="C18" t="s">
        <v>124</v>
      </c>
      <c r="D18">
        <v>5409</v>
      </c>
      <c r="E18" s="24">
        <v>42377</v>
      </c>
      <c r="F18" t="s">
        <v>125</v>
      </c>
      <c r="G18">
        <v>11</v>
      </c>
      <c r="H18">
        <v>48.91</v>
      </c>
      <c r="I18" s="25">
        <v>0.01</v>
      </c>
      <c r="J18" t="s">
        <v>103</v>
      </c>
    </row>
    <row r="19" spans="1:10">
      <c r="A19" s="24">
        <f t="shared" si="2"/>
        <v>35303</v>
      </c>
      <c r="B19" t="s">
        <v>100</v>
      </c>
      <c r="C19" t="s">
        <v>126</v>
      </c>
      <c r="D19">
        <v>5506</v>
      </c>
      <c r="E19" s="24">
        <v>42681</v>
      </c>
      <c r="F19" t="s">
        <v>108</v>
      </c>
      <c r="G19">
        <v>22</v>
      </c>
      <c r="H19">
        <v>129.62</v>
      </c>
      <c r="I19" s="25">
        <v>0.05</v>
      </c>
      <c r="J19" t="s">
        <v>103</v>
      </c>
    </row>
    <row r="20" spans="1:10">
      <c r="A20" s="24">
        <f t="shared" si="2"/>
        <v>35317</v>
      </c>
      <c r="B20" t="s">
        <v>100</v>
      </c>
      <c r="C20" t="s">
        <v>127</v>
      </c>
      <c r="D20">
        <v>5569</v>
      </c>
      <c r="E20" s="24">
        <v>42489</v>
      </c>
      <c r="F20" t="s">
        <v>106</v>
      </c>
      <c r="G20">
        <v>12</v>
      </c>
      <c r="H20">
        <v>118.97</v>
      </c>
      <c r="I20" s="25">
        <v>0.09</v>
      </c>
      <c r="J20" t="s">
        <v>103</v>
      </c>
    </row>
    <row r="21" spans="1:10">
      <c r="A21" s="24">
        <f t="shared" si="2"/>
        <v>35331</v>
      </c>
      <c r="B21" t="s">
        <v>100</v>
      </c>
      <c r="C21" t="s">
        <v>128</v>
      </c>
      <c r="D21">
        <v>678</v>
      </c>
      <c r="E21" s="24">
        <v>42426</v>
      </c>
      <c r="F21" t="s">
        <v>125</v>
      </c>
      <c r="G21">
        <v>44</v>
      </c>
      <c r="H21">
        <v>228.41</v>
      </c>
      <c r="I21" s="25">
        <v>7.0000000000000007E-2</v>
      </c>
      <c r="J21" t="s">
        <v>103</v>
      </c>
    </row>
    <row r="22" spans="1:10">
      <c r="A22" s="24">
        <f t="shared" si="2"/>
        <v>35345</v>
      </c>
      <c r="B22" t="s">
        <v>100</v>
      </c>
      <c r="C22" t="s">
        <v>129</v>
      </c>
      <c r="D22">
        <v>5607</v>
      </c>
      <c r="E22" s="24">
        <v>42004</v>
      </c>
      <c r="F22" t="s">
        <v>106</v>
      </c>
      <c r="G22">
        <v>8</v>
      </c>
      <c r="H22">
        <v>61.871500000000005</v>
      </c>
      <c r="I22" s="25">
        <v>0</v>
      </c>
      <c r="J22" t="s">
        <v>103</v>
      </c>
    </row>
    <row r="23" spans="1:10">
      <c r="A23" s="24">
        <f t="shared" si="2"/>
        <v>35359</v>
      </c>
      <c r="B23" t="s">
        <v>100</v>
      </c>
      <c r="C23" t="s">
        <v>130</v>
      </c>
      <c r="D23">
        <v>5894</v>
      </c>
      <c r="E23" s="24">
        <v>42228</v>
      </c>
      <c r="F23" t="s">
        <v>111</v>
      </c>
      <c r="G23">
        <v>7</v>
      </c>
      <c r="H23">
        <v>384.33</v>
      </c>
      <c r="I23" s="25">
        <v>0.1</v>
      </c>
      <c r="J23" t="s">
        <v>103</v>
      </c>
    </row>
    <row r="24" spans="1:10">
      <c r="A24" s="24">
        <f t="shared" si="2"/>
        <v>35373</v>
      </c>
      <c r="B24" t="s">
        <v>100</v>
      </c>
      <c r="C24" t="s">
        <v>131</v>
      </c>
      <c r="D24">
        <v>5894</v>
      </c>
      <c r="E24" s="24">
        <v>42228</v>
      </c>
      <c r="F24" t="s">
        <v>111</v>
      </c>
      <c r="G24">
        <v>3</v>
      </c>
      <c r="H24">
        <v>239.03</v>
      </c>
      <c r="I24" s="25">
        <v>0.01</v>
      </c>
      <c r="J24" t="s">
        <v>103</v>
      </c>
    </row>
    <row r="25" spans="1:10">
      <c r="A25" s="24">
        <f t="shared" si="2"/>
        <v>35387</v>
      </c>
      <c r="B25" t="s">
        <v>100</v>
      </c>
      <c r="C25" t="s">
        <v>132</v>
      </c>
      <c r="D25">
        <v>5925</v>
      </c>
      <c r="E25" s="24">
        <v>41955</v>
      </c>
      <c r="F25" t="s">
        <v>125</v>
      </c>
      <c r="G25">
        <v>44</v>
      </c>
      <c r="H25">
        <v>3922.42</v>
      </c>
      <c r="I25" s="25">
        <v>0.08</v>
      </c>
      <c r="J25" t="s">
        <v>103</v>
      </c>
    </row>
    <row r="26" spans="1:10">
      <c r="A26" s="24">
        <f t="shared" si="2"/>
        <v>35401</v>
      </c>
      <c r="B26" t="s">
        <v>100</v>
      </c>
      <c r="C26" t="s">
        <v>133</v>
      </c>
      <c r="D26">
        <v>5925</v>
      </c>
      <c r="E26" s="24">
        <v>41955</v>
      </c>
      <c r="F26" t="s">
        <v>125</v>
      </c>
      <c r="G26">
        <v>25</v>
      </c>
      <c r="H26">
        <v>1733.3625</v>
      </c>
      <c r="I26" s="25">
        <v>7.0000000000000007E-2</v>
      </c>
      <c r="J26" t="s">
        <v>103</v>
      </c>
    </row>
    <row r="27" spans="1:10">
      <c r="A27" s="24">
        <f t="shared" si="2"/>
        <v>35415</v>
      </c>
      <c r="B27" t="s">
        <v>100</v>
      </c>
      <c r="C27" t="s">
        <v>134</v>
      </c>
      <c r="D27">
        <v>483</v>
      </c>
      <c r="E27" s="24">
        <v>41830</v>
      </c>
      <c r="F27" t="s">
        <v>111</v>
      </c>
      <c r="G27">
        <v>30</v>
      </c>
      <c r="H27">
        <v>4965.7594999999992</v>
      </c>
      <c r="I27" s="25">
        <v>0.08</v>
      </c>
      <c r="J27" t="s">
        <v>103</v>
      </c>
    </row>
    <row r="28" spans="1:10">
      <c r="A28" s="24">
        <f t="shared" si="2"/>
        <v>35429</v>
      </c>
      <c r="B28" t="s">
        <v>100</v>
      </c>
      <c r="C28" t="s">
        <v>135</v>
      </c>
      <c r="D28">
        <v>6016</v>
      </c>
      <c r="E28" s="24">
        <v>42389</v>
      </c>
      <c r="F28" t="s">
        <v>111</v>
      </c>
      <c r="G28">
        <v>19</v>
      </c>
      <c r="H28">
        <v>208.28</v>
      </c>
      <c r="I28" s="25">
        <v>7.0000000000000007E-2</v>
      </c>
      <c r="J28" t="s">
        <v>103</v>
      </c>
    </row>
    <row r="29" spans="1:10">
      <c r="A29" s="24">
        <f t="shared" si="2"/>
        <v>35443</v>
      </c>
      <c r="B29" t="s">
        <v>100</v>
      </c>
      <c r="C29" t="s">
        <v>136</v>
      </c>
      <c r="D29">
        <v>293</v>
      </c>
      <c r="E29" s="24">
        <v>42644</v>
      </c>
      <c r="F29" t="s">
        <v>111</v>
      </c>
      <c r="G29">
        <v>49</v>
      </c>
      <c r="H29">
        <v>10123.02</v>
      </c>
      <c r="I29" s="25">
        <v>7.0000000000000007E-2</v>
      </c>
      <c r="J29" t="s">
        <v>109</v>
      </c>
    </row>
    <row r="30" spans="1:10">
      <c r="A30" s="24">
        <f t="shared" si="2"/>
        <v>35457</v>
      </c>
      <c r="B30" t="s">
        <v>100</v>
      </c>
      <c r="C30" t="s">
        <v>137</v>
      </c>
      <c r="D30">
        <v>6116</v>
      </c>
      <c r="E30" s="24">
        <v>42083</v>
      </c>
      <c r="F30" t="s">
        <v>102</v>
      </c>
      <c r="G30">
        <v>6</v>
      </c>
      <c r="H30">
        <v>9620.82</v>
      </c>
      <c r="I30" s="25">
        <v>0.04</v>
      </c>
      <c r="J30" t="s">
        <v>103</v>
      </c>
    </row>
    <row r="31" spans="1:10">
      <c r="A31" s="24">
        <f t="shared" si="2"/>
        <v>35471</v>
      </c>
      <c r="B31" t="s">
        <v>100</v>
      </c>
      <c r="C31" t="s">
        <v>138</v>
      </c>
      <c r="D31">
        <v>293</v>
      </c>
      <c r="E31" s="24">
        <v>42644</v>
      </c>
      <c r="F31" t="s">
        <v>111</v>
      </c>
      <c r="G31">
        <v>27</v>
      </c>
      <c r="H31">
        <v>244.57</v>
      </c>
      <c r="I31" s="25">
        <v>0.01</v>
      </c>
      <c r="J31" t="s">
        <v>103</v>
      </c>
    </row>
    <row r="32" spans="1:10">
      <c r="A32" s="24">
        <f t="shared" si="2"/>
        <v>35485</v>
      </c>
      <c r="B32" t="s">
        <v>100</v>
      </c>
      <c r="C32" t="s">
        <v>139</v>
      </c>
      <c r="D32">
        <v>6182</v>
      </c>
      <c r="E32" s="24">
        <v>42572</v>
      </c>
      <c r="F32" t="s">
        <v>125</v>
      </c>
      <c r="G32">
        <v>40</v>
      </c>
      <c r="H32">
        <v>255.48</v>
      </c>
      <c r="I32" s="25">
        <v>0.04</v>
      </c>
      <c r="J32" t="s">
        <v>103</v>
      </c>
    </row>
    <row r="33" spans="1:10">
      <c r="A33" s="24">
        <f t="shared" si="2"/>
        <v>35499</v>
      </c>
      <c r="B33" t="s">
        <v>100</v>
      </c>
      <c r="C33" t="s">
        <v>140</v>
      </c>
      <c r="D33">
        <v>6182</v>
      </c>
      <c r="E33" s="24">
        <v>42572</v>
      </c>
      <c r="F33" t="s">
        <v>125</v>
      </c>
      <c r="G33">
        <v>18</v>
      </c>
      <c r="H33">
        <v>130.32</v>
      </c>
      <c r="I33" s="25">
        <v>0.04</v>
      </c>
      <c r="J33" t="s">
        <v>120</v>
      </c>
    </row>
    <row r="34" spans="1:10">
      <c r="A34" s="24">
        <f t="shared" si="2"/>
        <v>35513</v>
      </c>
      <c r="B34" t="s">
        <v>100</v>
      </c>
      <c r="C34" t="s">
        <v>141</v>
      </c>
      <c r="D34">
        <v>3</v>
      </c>
      <c r="E34" s="24">
        <v>42656</v>
      </c>
      <c r="F34" t="s">
        <v>125</v>
      </c>
      <c r="G34">
        <v>6</v>
      </c>
      <c r="H34">
        <v>261.54000000000002</v>
      </c>
      <c r="I34" s="25">
        <v>0.04</v>
      </c>
      <c r="J34" t="s">
        <v>103</v>
      </c>
    </row>
    <row r="35" spans="1:10">
      <c r="A35" s="24">
        <f t="shared" si="2"/>
        <v>35527</v>
      </c>
      <c r="B35" t="s">
        <v>100</v>
      </c>
      <c r="C35" t="s">
        <v>142</v>
      </c>
      <c r="D35">
        <v>1154</v>
      </c>
      <c r="E35" s="24">
        <v>42414</v>
      </c>
      <c r="F35" t="s">
        <v>108</v>
      </c>
      <c r="G35">
        <v>11</v>
      </c>
      <c r="H35">
        <v>663.78400000000011</v>
      </c>
      <c r="I35" s="25">
        <v>0.25</v>
      </c>
      <c r="J35" t="s">
        <v>103</v>
      </c>
    </row>
    <row r="36" spans="1:10">
      <c r="A36" s="24">
        <f t="shared" si="2"/>
        <v>35541</v>
      </c>
      <c r="B36" t="s">
        <v>100</v>
      </c>
      <c r="C36" t="s">
        <v>143</v>
      </c>
      <c r="D36">
        <v>933</v>
      </c>
      <c r="E36" s="24">
        <v>42586</v>
      </c>
      <c r="F36" t="s">
        <v>106</v>
      </c>
      <c r="G36">
        <v>15</v>
      </c>
      <c r="H36">
        <v>80.61</v>
      </c>
      <c r="I36" s="25">
        <v>0.02</v>
      </c>
      <c r="J36" t="s">
        <v>103</v>
      </c>
    </row>
    <row r="37" spans="1:10">
      <c r="A37" s="24">
        <f t="shared" si="2"/>
        <v>35555</v>
      </c>
      <c r="B37" t="s">
        <v>100</v>
      </c>
      <c r="C37" t="s">
        <v>144</v>
      </c>
      <c r="D37">
        <v>868</v>
      </c>
      <c r="E37" s="24">
        <v>42529</v>
      </c>
      <c r="F37" t="s">
        <v>106</v>
      </c>
      <c r="G37">
        <v>31</v>
      </c>
      <c r="H37">
        <v>1474.33</v>
      </c>
      <c r="I37" s="25">
        <v>0.04</v>
      </c>
      <c r="J37" t="s">
        <v>103</v>
      </c>
    </row>
    <row r="38" spans="1:10">
      <c r="A38" s="24">
        <f t="shared" si="2"/>
        <v>35569</v>
      </c>
      <c r="B38" t="s">
        <v>100</v>
      </c>
      <c r="C38" t="s">
        <v>145</v>
      </c>
      <c r="D38">
        <v>6535</v>
      </c>
      <c r="E38" s="24">
        <v>42533</v>
      </c>
      <c r="F38" t="s">
        <v>108</v>
      </c>
      <c r="G38">
        <v>11</v>
      </c>
      <c r="H38">
        <v>312.36</v>
      </c>
      <c r="I38" s="25">
        <v>7.0000000000000007E-2</v>
      </c>
      <c r="J38" t="s">
        <v>120</v>
      </c>
    </row>
    <row r="39" spans="1:10">
      <c r="A39" s="24">
        <f t="shared" si="2"/>
        <v>35583</v>
      </c>
      <c r="B39" t="s">
        <v>100</v>
      </c>
      <c r="C39" t="s">
        <v>146</v>
      </c>
      <c r="D39">
        <v>6884</v>
      </c>
      <c r="E39" s="24">
        <v>42019</v>
      </c>
      <c r="F39" t="s">
        <v>125</v>
      </c>
      <c r="G39">
        <v>41</v>
      </c>
      <c r="H39">
        <v>217</v>
      </c>
      <c r="I39" s="25">
        <v>0.01</v>
      </c>
      <c r="J39" t="s">
        <v>103</v>
      </c>
    </row>
    <row r="40" spans="1:10">
      <c r="A40" s="24">
        <f t="shared" si="2"/>
        <v>35597</v>
      </c>
      <c r="B40" t="s">
        <v>100</v>
      </c>
      <c r="C40" t="s">
        <v>147</v>
      </c>
      <c r="D40">
        <v>6884</v>
      </c>
      <c r="E40" s="24">
        <v>42019</v>
      </c>
      <c r="F40" t="s">
        <v>125</v>
      </c>
      <c r="G40">
        <v>47</v>
      </c>
      <c r="H40">
        <v>296.13</v>
      </c>
      <c r="I40" s="25">
        <v>0.04</v>
      </c>
      <c r="J40" t="s">
        <v>103</v>
      </c>
    </row>
    <row r="41" spans="1:10">
      <c r="A41" s="24">
        <f t="shared" si="2"/>
        <v>35611</v>
      </c>
      <c r="B41" t="s">
        <v>100</v>
      </c>
      <c r="C41" t="s">
        <v>148</v>
      </c>
      <c r="D41">
        <v>6916</v>
      </c>
      <c r="E41" s="24">
        <v>42525</v>
      </c>
      <c r="F41" t="s">
        <v>125</v>
      </c>
      <c r="G41">
        <v>40</v>
      </c>
      <c r="H41">
        <v>436.17</v>
      </c>
      <c r="I41" s="25">
        <v>0.08</v>
      </c>
      <c r="J41" t="s">
        <v>120</v>
      </c>
    </row>
    <row r="42" spans="1:10">
      <c r="A42" s="24">
        <f t="shared" si="2"/>
        <v>35625</v>
      </c>
      <c r="B42" t="s">
        <v>100</v>
      </c>
      <c r="C42" t="s">
        <v>149</v>
      </c>
      <c r="D42">
        <v>6980</v>
      </c>
      <c r="E42" s="24">
        <v>42418</v>
      </c>
      <c r="F42" t="s">
        <v>106</v>
      </c>
      <c r="G42">
        <v>18</v>
      </c>
      <c r="H42">
        <v>136.29</v>
      </c>
      <c r="I42" s="25">
        <v>0.05</v>
      </c>
      <c r="J42" t="s">
        <v>103</v>
      </c>
    </row>
    <row r="43" spans="1:10">
      <c r="A43" s="24">
        <f t="shared" si="2"/>
        <v>35639</v>
      </c>
      <c r="B43" t="s">
        <v>100</v>
      </c>
      <c r="C43" t="s">
        <v>150</v>
      </c>
      <c r="D43">
        <v>6982</v>
      </c>
      <c r="E43" s="24">
        <v>41959</v>
      </c>
      <c r="F43" t="s">
        <v>106</v>
      </c>
      <c r="G43">
        <v>32</v>
      </c>
      <c r="H43">
        <v>1311.25</v>
      </c>
      <c r="I43" s="25">
        <v>0</v>
      </c>
      <c r="J43" t="s">
        <v>120</v>
      </c>
    </row>
    <row r="44" spans="1:10">
      <c r="A44" s="24">
        <f t="shared" si="2"/>
        <v>35653</v>
      </c>
      <c r="B44" t="s">
        <v>100</v>
      </c>
      <c r="C44" t="s">
        <v>151</v>
      </c>
      <c r="D44">
        <v>6982</v>
      </c>
      <c r="E44" s="24">
        <v>41959</v>
      </c>
      <c r="F44" t="s">
        <v>106</v>
      </c>
      <c r="G44">
        <v>5</v>
      </c>
      <c r="H44">
        <v>544.41</v>
      </c>
      <c r="I44" s="25">
        <v>0.09</v>
      </c>
      <c r="J44" t="s">
        <v>109</v>
      </c>
    </row>
    <row r="45" spans="1:10">
      <c r="A45" s="24">
        <f t="shared" si="2"/>
        <v>35667</v>
      </c>
      <c r="B45" t="s">
        <v>100</v>
      </c>
      <c r="C45" t="s">
        <v>152</v>
      </c>
      <c r="D45">
        <v>6982</v>
      </c>
      <c r="E45" s="24">
        <v>41959</v>
      </c>
      <c r="F45" t="s">
        <v>106</v>
      </c>
      <c r="G45">
        <v>41</v>
      </c>
      <c r="H45">
        <v>844.09</v>
      </c>
      <c r="I45" s="25">
        <v>0.04</v>
      </c>
      <c r="J45" t="s">
        <v>103</v>
      </c>
    </row>
    <row r="46" spans="1:10">
      <c r="A46" s="24">
        <f t="shared" si="2"/>
        <v>35681</v>
      </c>
      <c r="B46" t="s">
        <v>100</v>
      </c>
      <c r="C46" t="s">
        <v>153</v>
      </c>
      <c r="D46">
        <v>7110</v>
      </c>
      <c r="E46" s="24">
        <v>41858</v>
      </c>
      <c r="F46" t="s">
        <v>125</v>
      </c>
      <c r="G46">
        <v>22</v>
      </c>
      <c r="H46">
        <v>6396.2</v>
      </c>
      <c r="I46" s="25">
        <v>0.02</v>
      </c>
      <c r="J46" t="s">
        <v>103</v>
      </c>
    </row>
    <row r="47" spans="1:10">
      <c r="A47" s="24">
        <f t="shared" si="2"/>
        <v>35695</v>
      </c>
      <c r="B47" t="s">
        <v>154</v>
      </c>
      <c r="C47">
        <v>777</v>
      </c>
      <c r="D47">
        <v>7430</v>
      </c>
      <c r="E47" s="24">
        <v>42529</v>
      </c>
      <c r="F47" t="s">
        <v>102</v>
      </c>
      <c r="G47">
        <v>50</v>
      </c>
      <c r="H47">
        <v>751.77</v>
      </c>
      <c r="I47" s="25">
        <v>0.05</v>
      </c>
      <c r="J47" t="s">
        <v>103</v>
      </c>
    </row>
    <row r="48" spans="1:10">
      <c r="A48" s="24">
        <f t="shared" si="2"/>
        <v>35709</v>
      </c>
      <c r="B48" t="s">
        <v>154</v>
      </c>
      <c r="C48" t="s">
        <v>155</v>
      </c>
      <c r="D48">
        <v>7906</v>
      </c>
      <c r="E48" s="24">
        <v>42294</v>
      </c>
      <c r="F48" t="s">
        <v>102</v>
      </c>
      <c r="G48">
        <v>37</v>
      </c>
      <c r="H48">
        <v>1003.06</v>
      </c>
      <c r="I48" s="25">
        <v>0.03</v>
      </c>
      <c r="J48" t="s">
        <v>103</v>
      </c>
    </row>
    <row r="49" spans="1:10">
      <c r="A49" s="24">
        <f t="shared" si="2"/>
        <v>35723</v>
      </c>
      <c r="B49" t="s">
        <v>154</v>
      </c>
      <c r="C49" t="s">
        <v>156</v>
      </c>
      <c r="D49">
        <v>8391</v>
      </c>
      <c r="E49" s="24">
        <v>41879</v>
      </c>
      <c r="F49" t="s">
        <v>111</v>
      </c>
      <c r="G49">
        <v>4</v>
      </c>
      <c r="H49">
        <v>1266.72</v>
      </c>
      <c r="I49" s="25">
        <v>0.04</v>
      </c>
      <c r="J49" t="s">
        <v>109</v>
      </c>
    </row>
    <row r="50" spans="1:10">
      <c r="A50" s="24">
        <f t="shared" si="2"/>
        <v>35737</v>
      </c>
      <c r="B50" t="s">
        <v>154</v>
      </c>
      <c r="C50" t="s">
        <v>157</v>
      </c>
      <c r="D50">
        <v>8419</v>
      </c>
      <c r="E50" s="24">
        <v>41911</v>
      </c>
      <c r="F50" t="s">
        <v>108</v>
      </c>
      <c r="G50">
        <v>19</v>
      </c>
      <c r="H50">
        <v>368.04</v>
      </c>
      <c r="I50" s="25">
        <v>7.0000000000000007E-2</v>
      </c>
      <c r="J50" t="s">
        <v>120</v>
      </c>
    </row>
    <row r="51" spans="1:10">
      <c r="A51" s="24">
        <f t="shared" si="2"/>
        <v>35751</v>
      </c>
      <c r="B51" t="s">
        <v>154</v>
      </c>
      <c r="C51" t="s">
        <v>158</v>
      </c>
      <c r="D51">
        <v>8419</v>
      </c>
      <c r="E51" s="24">
        <v>41911</v>
      </c>
      <c r="F51" t="s">
        <v>108</v>
      </c>
      <c r="G51">
        <v>24</v>
      </c>
      <c r="H51">
        <v>152.6</v>
      </c>
      <c r="I51" s="25">
        <v>0.1</v>
      </c>
      <c r="J51" t="s">
        <v>103</v>
      </c>
    </row>
    <row r="52" spans="1:10">
      <c r="A52" s="24">
        <f t="shared" si="2"/>
        <v>35765</v>
      </c>
      <c r="B52" t="s">
        <v>154</v>
      </c>
      <c r="C52" t="s">
        <v>159</v>
      </c>
      <c r="D52">
        <v>8833</v>
      </c>
      <c r="E52" s="24">
        <v>42494</v>
      </c>
      <c r="F52" t="s">
        <v>125</v>
      </c>
      <c r="G52">
        <v>40</v>
      </c>
      <c r="H52">
        <v>3338.98</v>
      </c>
      <c r="I52" s="25">
        <v>0</v>
      </c>
      <c r="J52" t="s">
        <v>103</v>
      </c>
    </row>
    <row r="53" spans="1:10">
      <c r="A53" s="24">
        <f t="shared" si="2"/>
        <v>35779</v>
      </c>
      <c r="B53" t="s">
        <v>154</v>
      </c>
      <c r="C53" t="s">
        <v>160</v>
      </c>
      <c r="D53">
        <v>8995</v>
      </c>
      <c r="E53" s="24">
        <v>41776</v>
      </c>
      <c r="F53" t="s">
        <v>111</v>
      </c>
      <c r="G53">
        <v>5</v>
      </c>
      <c r="H53">
        <v>24.16</v>
      </c>
      <c r="I53" s="25">
        <v>0.08</v>
      </c>
      <c r="J53" t="s">
        <v>120</v>
      </c>
    </row>
    <row r="54" spans="1:10">
      <c r="A54" s="24">
        <f t="shared" si="2"/>
        <v>35793</v>
      </c>
      <c r="B54" t="s">
        <v>161</v>
      </c>
      <c r="C54">
        <v>9000000</v>
      </c>
      <c r="D54">
        <v>8995</v>
      </c>
      <c r="E54" s="24">
        <v>41776</v>
      </c>
      <c r="F54" t="s">
        <v>111</v>
      </c>
      <c r="G54">
        <v>41</v>
      </c>
      <c r="H54">
        <v>270.83999999999997</v>
      </c>
      <c r="I54" s="25">
        <v>0.1</v>
      </c>
      <c r="J54" t="s">
        <v>120</v>
      </c>
    </row>
    <row r="55" spans="1:10">
      <c r="A55" s="24">
        <f t="shared" si="2"/>
        <v>35807</v>
      </c>
      <c r="B55" t="s">
        <v>161</v>
      </c>
      <c r="C55" t="s">
        <v>162</v>
      </c>
      <c r="D55">
        <v>4612</v>
      </c>
      <c r="E55" s="24">
        <v>42632</v>
      </c>
      <c r="F55" t="s">
        <v>102</v>
      </c>
      <c r="G55">
        <v>9</v>
      </c>
      <c r="H55">
        <v>89.55</v>
      </c>
      <c r="I55" s="25">
        <v>0.06</v>
      </c>
      <c r="J55" t="s">
        <v>103</v>
      </c>
    </row>
    <row r="56" spans="1:10">
      <c r="A56" s="24">
        <f t="shared" si="2"/>
        <v>35821</v>
      </c>
      <c r="B56" t="s">
        <v>161</v>
      </c>
      <c r="C56" t="s">
        <v>163</v>
      </c>
      <c r="D56">
        <v>2757</v>
      </c>
      <c r="E56" s="24">
        <v>41839</v>
      </c>
      <c r="F56" t="s">
        <v>108</v>
      </c>
      <c r="G56">
        <v>39</v>
      </c>
      <c r="H56">
        <v>3554.46</v>
      </c>
      <c r="I56" s="25">
        <v>7.0000000000000007E-2</v>
      </c>
      <c r="J56" t="s">
        <v>109</v>
      </c>
    </row>
    <row r="57" spans="1:10">
      <c r="A57" s="24">
        <f t="shared" si="2"/>
        <v>35835</v>
      </c>
      <c r="B57" t="s">
        <v>161</v>
      </c>
      <c r="C57" t="s">
        <v>164</v>
      </c>
      <c r="D57">
        <v>8995</v>
      </c>
      <c r="E57" s="24">
        <v>41776</v>
      </c>
      <c r="F57" t="s">
        <v>111</v>
      </c>
      <c r="G57">
        <v>35</v>
      </c>
      <c r="H57">
        <v>3389.93</v>
      </c>
      <c r="I57" s="25">
        <v>0.08</v>
      </c>
      <c r="J57" t="s">
        <v>120</v>
      </c>
    </row>
    <row r="58" spans="1:10">
      <c r="A58" s="24">
        <f t="shared" si="2"/>
        <v>35849</v>
      </c>
      <c r="B58" t="s">
        <v>161</v>
      </c>
      <c r="C58" t="s">
        <v>165</v>
      </c>
      <c r="D58">
        <v>8995</v>
      </c>
      <c r="E58" s="24">
        <v>41776</v>
      </c>
      <c r="F58" t="s">
        <v>111</v>
      </c>
      <c r="G58">
        <v>42</v>
      </c>
      <c r="H58">
        <v>266.36</v>
      </c>
      <c r="I58" s="25">
        <v>7.0000000000000007E-2</v>
      </c>
      <c r="J58" t="s">
        <v>103</v>
      </c>
    </row>
    <row r="59" spans="1:10">
      <c r="A59" s="24">
        <f t="shared" si="2"/>
        <v>35863</v>
      </c>
      <c r="B59" t="s">
        <v>161</v>
      </c>
      <c r="C59" t="s">
        <v>166</v>
      </c>
      <c r="D59">
        <v>2791</v>
      </c>
      <c r="E59" s="24">
        <v>42286</v>
      </c>
      <c r="F59" t="s">
        <v>111</v>
      </c>
      <c r="G59">
        <v>18</v>
      </c>
      <c r="H59">
        <v>507.64</v>
      </c>
      <c r="I59" s="25">
        <v>0.1</v>
      </c>
      <c r="J59" t="s">
        <v>103</v>
      </c>
    </row>
    <row r="60" spans="1:10">
      <c r="A60" s="24">
        <f t="shared" si="2"/>
        <v>35877</v>
      </c>
      <c r="B60" t="s">
        <v>161</v>
      </c>
      <c r="C60" t="s">
        <v>167</v>
      </c>
      <c r="D60">
        <v>8995</v>
      </c>
      <c r="E60" s="24">
        <v>41776</v>
      </c>
      <c r="F60" t="s">
        <v>111</v>
      </c>
      <c r="G60">
        <v>46</v>
      </c>
      <c r="H60">
        <v>89.41</v>
      </c>
      <c r="I60" s="25">
        <v>0.01</v>
      </c>
      <c r="J60" t="s">
        <v>103</v>
      </c>
    </row>
    <row r="61" spans="1:10">
      <c r="A61" s="24">
        <f t="shared" si="2"/>
        <v>35891</v>
      </c>
      <c r="B61" t="s">
        <v>161</v>
      </c>
      <c r="C61" t="s">
        <v>168</v>
      </c>
      <c r="D61">
        <v>9126</v>
      </c>
      <c r="E61" s="24">
        <v>42325</v>
      </c>
      <c r="F61" t="s">
        <v>102</v>
      </c>
      <c r="G61">
        <v>47</v>
      </c>
      <c r="H61">
        <v>2799.7</v>
      </c>
      <c r="I61" s="25">
        <v>0.04</v>
      </c>
      <c r="J61" t="s">
        <v>103</v>
      </c>
    </row>
    <row r="62" spans="1:10">
      <c r="A62" s="24">
        <f t="shared" si="2"/>
        <v>35905</v>
      </c>
      <c r="B62" t="s">
        <v>161</v>
      </c>
      <c r="C62" t="s">
        <v>169</v>
      </c>
      <c r="D62">
        <v>9127</v>
      </c>
      <c r="E62" s="24">
        <v>41922</v>
      </c>
      <c r="F62" t="s">
        <v>106</v>
      </c>
      <c r="G62">
        <v>7</v>
      </c>
      <c r="H62">
        <v>2039.56</v>
      </c>
      <c r="I62" s="25">
        <v>0.04</v>
      </c>
      <c r="J62" t="s">
        <v>120</v>
      </c>
    </row>
    <row r="63" spans="1:10">
      <c r="A63" s="24">
        <f t="shared" si="2"/>
        <v>35919</v>
      </c>
      <c r="B63" t="s">
        <v>161</v>
      </c>
      <c r="C63" t="s">
        <v>170</v>
      </c>
      <c r="D63">
        <v>9509</v>
      </c>
      <c r="E63" s="24">
        <v>42650</v>
      </c>
      <c r="F63" t="s">
        <v>106</v>
      </c>
      <c r="G63">
        <v>36</v>
      </c>
      <c r="H63">
        <v>12175.82</v>
      </c>
      <c r="I63" s="25">
        <v>0.02</v>
      </c>
      <c r="J63" t="s">
        <v>109</v>
      </c>
    </row>
    <row r="64" spans="1:10">
      <c r="A64" s="24">
        <f t="shared" si="2"/>
        <v>35933</v>
      </c>
      <c r="B64" t="s">
        <v>161</v>
      </c>
      <c r="C64" t="s">
        <v>171</v>
      </c>
      <c r="D64">
        <v>9509</v>
      </c>
      <c r="E64" s="24">
        <v>42650</v>
      </c>
      <c r="F64" t="s">
        <v>106</v>
      </c>
      <c r="G64">
        <v>5</v>
      </c>
      <c r="H64">
        <v>101.21</v>
      </c>
      <c r="I64" s="25">
        <v>0.1</v>
      </c>
      <c r="J64" t="s">
        <v>120</v>
      </c>
    </row>
    <row r="65" spans="1:10">
      <c r="A65" s="24">
        <f t="shared" si="2"/>
        <v>35947</v>
      </c>
      <c r="B65" t="s">
        <v>161</v>
      </c>
      <c r="C65" t="s">
        <v>172</v>
      </c>
      <c r="D65">
        <v>9509</v>
      </c>
      <c r="E65" s="24">
        <v>42650</v>
      </c>
      <c r="F65" t="s">
        <v>106</v>
      </c>
      <c r="G65">
        <v>32</v>
      </c>
      <c r="H65">
        <v>1585.64</v>
      </c>
      <c r="I65" s="25">
        <v>0.02</v>
      </c>
      <c r="J65" t="s">
        <v>103</v>
      </c>
    </row>
    <row r="66" spans="1:10">
      <c r="A66" s="24">
        <f t="shared" si="2"/>
        <v>35961</v>
      </c>
      <c r="B66" t="s">
        <v>173</v>
      </c>
      <c r="C66" t="s">
        <v>174</v>
      </c>
      <c r="D66">
        <v>9763</v>
      </c>
      <c r="E66" s="24">
        <v>41864</v>
      </c>
      <c r="F66" t="s">
        <v>102</v>
      </c>
      <c r="G66">
        <v>44</v>
      </c>
      <c r="H66">
        <v>176.26</v>
      </c>
      <c r="I66" s="25">
        <v>7.0000000000000007E-2</v>
      </c>
      <c r="J66" t="s">
        <v>103</v>
      </c>
    </row>
    <row r="67" spans="1:10">
      <c r="A67" s="24">
        <f t="shared" si="2"/>
        <v>35975</v>
      </c>
      <c r="B67" t="s">
        <v>173</v>
      </c>
      <c r="C67" t="s">
        <v>175</v>
      </c>
      <c r="D67">
        <v>1412</v>
      </c>
      <c r="E67" s="24">
        <v>42441</v>
      </c>
      <c r="F67" t="s">
        <v>106</v>
      </c>
      <c r="G67">
        <v>21</v>
      </c>
      <c r="H67">
        <v>97.48</v>
      </c>
      <c r="I67" s="25">
        <v>0.05</v>
      </c>
      <c r="J67" t="s">
        <v>103</v>
      </c>
    </row>
    <row r="68" spans="1:10">
      <c r="A68" s="24">
        <f t="shared" ref="A68:A131" si="3">EDATE(A67, 0) + 14</f>
        <v>35989</v>
      </c>
      <c r="B68" t="s">
        <v>173</v>
      </c>
      <c r="C68" t="s">
        <v>176</v>
      </c>
      <c r="D68">
        <v>9927</v>
      </c>
      <c r="E68" s="24">
        <v>41867</v>
      </c>
      <c r="F68" t="s">
        <v>111</v>
      </c>
      <c r="G68">
        <v>32</v>
      </c>
      <c r="H68">
        <v>4655.07</v>
      </c>
      <c r="I68" s="25">
        <v>0</v>
      </c>
      <c r="J68" t="s">
        <v>109</v>
      </c>
    </row>
    <row r="69" spans="1:10">
      <c r="A69" s="24">
        <f t="shared" si="3"/>
        <v>36003</v>
      </c>
      <c r="B69" t="s">
        <v>173</v>
      </c>
      <c r="C69" t="s">
        <v>177</v>
      </c>
      <c r="D69">
        <v>9927</v>
      </c>
      <c r="E69" s="24">
        <v>41867</v>
      </c>
      <c r="F69" t="s">
        <v>111</v>
      </c>
      <c r="G69">
        <v>44</v>
      </c>
      <c r="H69">
        <v>10087.6</v>
      </c>
      <c r="I69" s="25">
        <v>0.01</v>
      </c>
      <c r="J69" t="s">
        <v>103</v>
      </c>
    </row>
    <row r="70" spans="1:10">
      <c r="A70" s="24">
        <f t="shared" si="3"/>
        <v>36017</v>
      </c>
      <c r="B70" t="s">
        <v>173</v>
      </c>
      <c r="C70" t="s">
        <v>178</v>
      </c>
      <c r="D70">
        <v>9927</v>
      </c>
      <c r="E70" s="24">
        <v>41867</v>
      </c>
      <c r="F70" t="s">
        <v>111</v>
      </c>
      <c r="G70">
        <v>34</v>
      </c>
      <c r="H70">
        <v>1608.08</v>
      </c>
      <c r="I70" s="25">
        <v>0.09</v>
      </c>
      <c r="J70" t="s">
        <v>120</v>
      </c>
    </row>
    <row r="71" spans="1:10">
      <c r="A71" s="24">
        <f t="shared" si="3"/>
        <v>36031</v>
      </c>
      <c r="B71" t="s">
        <v>173</v>
      </c>
      <c r="C71" t="s">
        <v>179</v>
      </c>
      <c r="D71">
        <v>1412</v>
      </c>
      <c r="E71" s="24">
        <v>42441</v>
      </c>
      <c r="F71" t="s">
        <v>106</v>
      </c>
      <c r="G71">
        <v>13</v>
      </c>
      <c r="H71">
        <v>59.03</v>
      </c>
      <c r="I71" s="25">
        <v>0.1</v>
      </c>
      <c r="J71" t="s">
        <v>120</v>
      </c>
    </row>
    <row r="72" spans="1:10">
      <c r="A72" s="24">
        <f t="shared" si="3"/>
        <v>36045</v>
      </c>
      <c r="B72" t="s">
        <v>173</v>
      </c>
      <c r="C72" t="s">
        <v>180</v>
      </c>
      <c r="D72">
        <v>10022</v>
      </c>
      <c r="E72" s="24">
        <v>42067</v>
      </c>
      <c r="F72" t="s">
        <v>125</v>
      </c>
      <c r="G72">
        <v>1</v>
      </c>
      <c r="H72">
        <v>12.18</v>
      </c>
      <c r="I72" s="25">
        <v>0.06</v>
      </c>
      <c r="J72" t="s">
        <v>103</v>
      </c>
    </row>
    <row r="73" spans="1:10">
      <c r="A73" s="24">
        <f t="shared" si="3"/>
        <v>36059</v>
      </c>
      <c r="B73" t="s">
        <v>181</v>
      </c>
      <c r="C73" t="s">
        <v>182</v>
      </c>
      <c r="D73">
        <v>10437</v>
      </c>
      <c r="E73" s="24">
        <v>42234</v>
      </c>
      <c r="F73" t="s">
        <v>108</v>
      </c>
      <c r="G73">
        <v>50</v>
      </c>
      <c r="H73">
        <v>820.52</v>
      </c>
      <c r="I73" s="25">
        <v>0.01</v>
      </c>
      <c r="J73" t="s">
        <v>103</v>
      </c>
    </row>
    <row r="74" spans="1:10">
      <c r="A74" s="24">
        <f t="shared" si="3"/>
        <v>36073</v>
      </c>
      <c r="B74" t="s">
        <v>181</v>
      </c>
      <c r="C74" t="s">
        <v>183</v>
      </c>
      <c r="D74">
        <v>1702</v>
      </c>
      <c r="E74" s="24">
        <v>41765</v>
      </c>
      <c r="F74" t="s">
        <v>111</v>
      </c>
      <c r="G74">
        <v>23</v>
      </c>
      <c r="H74">
        <v>67.239999999999995</v>
      </c>
      <c r="I74" s="25">
        <v>0.06</v>
      </c>
      <c r="J74" t="s">
        <v>103</v>
      </c>
    </row>
    <row r="75" spans="1:10">
      <c r="A75" s="24">
        <f t="shared" si="3"/>
        <v>36087</v>
      </c>
      <c r="B75" t="s">
        <v>181</v>
      </c>
      <c r="C75" t="s">
        <v>184</v>
      </c>
      <c r="D75">
        <v>1539</v>
      </c>
      <c r="E75" s="24">
        <v>41707</v>
      </c>
      <c r="F75" t="s">
        <v>125</v>
      </c>
      <c r="G75">
        <v>33</v>
      </c>
      <c r="H75">
        <v>511.83</v>
      </c>
      <c r="I75" s="25">
        <v>0.1</v>
      </c>
      <c r="J75" t="s">
        <v>103</v>
      </c>
    </row>
    <row r="76" spans="1:10">
      <c r="A76" s="24">
        <f t="shared" si="3"/>
        <v>36101</v>
      </c>
      <c r="B76" t="s">
        <v>181</v>
      </c>
      <c r="C76" t="s">
        <v>185</v>
      </c>
      <c r="D76">
        <v>10499</v>
      </c>
      <c r="E76" s="24">
        <v>42690</v>
      </c>
      <c r="F76" t="s">
        <v>106</v>
      </c>
      <c r="G76">
        <v>29</v>
      </c>
      <c r="H76">
        <v>6250.9360000000006</v>
      </c>
      <c r="I76" s="25">
        <v>0.01</v>
      </c>
      <c r="J76" t="s">
        <v>109</v>
      </c>
    </row>
    <row r="77" spans="1:10">
      <c r="A77" s="24">
        <f t="shared" si="3"/>
        <v>36115</v>
      </c>
      <c r="B77" t="s">
        <v>181</v>
      </c>
      <c r="C77" t="s">
        <v>186</v>
      </c>
      <c r="D77">
        <v>10535</v>
      </c>
      <c r="E77" s="24">
        <v>41786</v>
      </c>
      <c r="F77" t="s">
        <v>125</v>
      </c>
      <c r="G77">
        <v>25</v>
      </c>
      <c r="H77">
        <v>854.88</v>
      </c>
      <c r="I77" s="25">
        <v>0.09</v>
      </c>
      <c r="J77" t="s">
        <v>103</v>
      </c>
    </row>
    <row r="78" spans="1:10">
      <c r="A78" s="24">
        <f t="shared" si="3"/>
        <v>36129</v>
      </c>
      <c r="B78" t="s">
        <v>181</v>
      </c>
      <c r="C78" t="s">
        <v>187</v>
      </c>
      <c r="D78">
        <v>10535</v>
      </c>
      <c r="E78" s="24">
        <v>41786</v>
      </c>
      <c r="F78" t="s">
        <v>125</v>
      </c>
      <c r="G78">
        <v>46</v>
      </c>
      <c r="H78">
        <v>80.27</v>
      </c>
      <c r="I78" s="25">
        <v>0.09</v>
      </c>
      <c r="J78" t="s">
        <v>103</v>
      </c>
    </row>
    <row r="79" spans="1:10">
      <c r="A79" s="24">
        <f t="shared" si="3"/>
        <v>36143</v>
      </c>
      <c r="B79" t="s">
        <v>181</v>
      </c>
      <c r="C79" t="s">
        <v>188</v>
      </c>
      <c r="D79">
        <v>1539</v>
      </c>
      <c r="E79" s="24">
        <v>41707</v>
      </c>
      <c r="F79" t="s">
        <v>125</v>
      </c>
      <c r="G79">
        <v>38</v>
      </c>
      <c r="H79">
        <v>184.99</v>
      </c>
      <c r="I79" s="25">
        <v>0.05</v>
      </c>
      <c r="J79" t="s">
        <v>103</v>
      </c>
    </row>
    <row r="80" spans="1:10">
      <c r="A80" s="24">
        <f t="shared" si="3"/>
        <v>36157</v>
      </c>
      <c r="B80" t="s">
        <v>181</v>
      </c>
      <c r="C80" t="s">
        <v>189</v>
      </c>
      <c r="D80">
        <v>10789</v>
      </c>
      <c r="E80" s="24">
        <v>42605</v>
      </c>
      <c r="F80" t="s">
        <v>106</v>
      </c>
      <c r="G80">
        <v>15</v>
      </c>
      <c r="H80">
        <v>308.54000000000002</v>
      </c>
      <c r="I80" s="25">
        <v>0</v>
      </c>
      <c r="J80" t="s">
        <v>120</v>
      </c>
    </row>
    <row r="81" spans="1:10">
      <c r="A81" s="24">
        <f t="shared" si="3"/>
        <v>36171</v>
      </c>
      <c r="B81" t="s">
        <v>181</v>
      </c>
      <c r="C81" t="s">
        <v>190</v>
      </c>
      <c r="D81">
        <v>10791</v>
      </c>
      <c r="E81" s="24">
        <v>41870</v>
      </c>
      <c r="F81" t="s">
        <v>106</v>
      </c>
      <c r="G81">
        <v>20</v>
      </c>
      <c r="H81">
        <v>400.57</v>
      </c>
      <c r="I81" s="25">
        <v>0.05</v>
      </c>
      <c r="J81" t="s">
        <v>103</v>
      </c>
    </row>
    <row r="82" spans="1:10">
      <c r="A82" s="24">
        <f t="shared" si="3"/>
        <v>36185</v>
      </c>
      <c r="B82" t="s">
        <v>181</v>
      </c>
      <c r="C82" t="s">
        <v>191</v>
      </c>
      <c r="D82">
        <v>10945</v>
      </c>
      <c r="E82" s="24">
        <v>42372</v>
      </c>
      <c r="F82" t="s">
        <v>102</v>
      </c>
      <c r="G82">
        <v>14</v>
      </c>
      <c r="H82">
        <v>1170.0250000000001</v>
      </c>
      <c r="I82" s="25">
        <v>0.04</v>
      </c>
      <c r="J82" t="s">
        <v>103</v>
      </c>
    </row>
    <row r="83" spans="1:10">
      <c r="A83" s="24">
        <f t="shared" si="3"/>
        <v>36199</v>
      </c>
      <c r="B83" t="s">
        <v>181</v>
      </c>
      <c r="C83" t="s">
        <v>192</v>
      </c>
      <c r="D83">
        <v>1792</v>
      </c>
      <c r="E83" s="24">
        <v>42682</v>
      </c>
      <c r="F83" t="s">
        <v>125</v>
      </c>
      <c r="G83">
        <v>28</v>
      </c>
      <c r="H83">
        <v>370.48</v>
      </c>
      <c r="I83" s="25">
        <v>0.04</v>
      </c>
      <c r="J83" t="s">
        <v>103</v>
      </c>
    </row>
    <row r="84" spans="1:10">
      <c r="A84" s="24">
        <f t="shared" si="3"/>
        <v>36213</v>
      </c>
      <c r="B84" t="s">
        <v>193</v>
      </c>
      <c r="C84" t="s">
        <v>194</v>
      </c>
      <c r="D84">
        <v>2791</v>
      </c>
      <c r="E84" s="24">
        <v>42286</v>
      </c>
      <c r="F84" t="s">
        <v>111</v>
      </c>
      <c r="G84">
        <v>47</v>
      </c>
      <c r="H84">
        <v>191.67</v>
      </c>
      <c r="I84" s="25">
        <v>0</v>
      </c>
      <c r="J84" t="s">
        <v>103</v>
      </c>
    </row>
    <row r="85" spans="1:10">
      <c r="A85" s="24">
        <f t="shared" si="3"/>
        <v>36227</v>
      </c>
      <c r="B85" t="s">
        <v>193</v>
      </c>
      <c r="C85" t="s">
        <v>195</v>
      </c>
      <c r="D85">
        <v>1761</v>
      </c>
      <c r="E85" s="24">
        <v>42727</v>
      </c>
      <c r="F85" t="s">
        <v>111</v>
      </c>
      <c r="G85">
        <v>25</v>
      </c>
      <c r="H85">
        <v>12028.23</v>
      </c>
      <c r="I85" s="25">
        <v>0.01</v>
      </c>
      <c r="J85" t="s">
        <v>109</v>
      </c>
    </row>
    <row r="86" spans="1:10">
      <c r="A86" s="24">
        <f t="shared" si="3"/>
        <v>36241</v>
      </c>
      <c r="B86" t="s">
        <v>193</v>
      </c>
      <c r="C86" t="s">
        <v>196</v>
      </c>
      <c r="D86">
        <v>11137</v>
      </c>
      <c r="E86" s="24">
        <v>42703</v>
      </c>
      <c r="F86" t="s">
        <v>111</v>
      </c>
      <c r="G86">
        <v>48</v>
      </c>
      <c r="H86">
        <v>5188.8599999999997</v>
      </c>
      <c r="I86" s="25">
        <v>0.1</v>
      </c>
      <c r="J86" t="s">
        <v>103</v>
      </c>
    </row>
    <row r="87" spans="1:10">
      <c r="A87" s="24">
        <f t="shared" si="3"/>
        <v>36255</v>
      </c>
      <c r="B87" t="s">
        <v>193</v>
      </c>
      <c r="C87" t="s">
        <v>197</v>
      </c>
      <c r="D87">
        <v>11202</v>
      </c>
      <c r="E87" s="24">
        <v>42446</v>
      </c>
      <c r="F87" t="s">
        <v>102</v>
      </c>
      <c r="G87">
        <v>8</v>
      </c>
      <c r="H87">
        <v>339.81</v>
      </c>
      <c r="I87" s="25">
        <v>0.05</v>
      </c>
      <c r="J87" t="s">
        <v>103</v>
      </c>
    </row>
    <row r="88" spans="1:10">
      <c r="A88" s="24">
        <f t="shared" si="3"/>
        <v>36269</v>
      </c>
      <c r="B88" t="s">
        <v>193</v>
      </c>
      <c r="C88" t="s">
        <v>198</v>
      </c>
      <c r="D88">
        <v>11456</v>
      </c>
      <c r="E88" s="24">
        <v>42472</v>
      </c>
      <c r="F88" t="s">
        <v>125</v>
      </c>
      <c r="G88">
        <v>15</v>
      </c>
      <c r="H88">
        <v>1519.9</v>
      </c>
      <c r="I88" s="25">
        <v>0.09</v>
      </c>
      <c r="J88" t="s">
        <v>103</v>
      </c>
    </row>
    <row r="89" spans="1:10">
      <c r="A89" s="24">
        <f t="shared" si="3"/>
        <v>36283</v>
      </c>
      <c r="B89" t="s">
        <v>193</v>
      </c>
      <c r="C89" t="s">
        <v>199</v>
      </c>
      <c r="D89">
        <v>11460</v>
      </c>
      <c r="E89" s="24">
        <v>42606</v>
      </c>
      <c r="F89" t="s">
        <v>111</v>
      </c>
      <c r="G89">
        <v>30</v>
      </c>
      <c r="H89">
        <v>102.24</v>
      </c>
      <c r="I89" s="25">
        <v>0.09</v>
      </c>
      <c r="J89" t="s">
        <v>103</v>
      </c>
    </row>
    <row r="90" spans="1:10">
      <c r="A90" s="24">
        <f t="shared" si="3"/>
        <v>36297</v>
      </c>
      <c r="B90" t="s">
        <v>193</v>
      </c>
      <c r="C90" t="s">
        <v>200</v>
      </c>
      <c r="D90">
        <v>11495</v>
      </c>
      <c r="E90" s="24">
        <v>41824</v>
      </c>
      <c r="F90" t="s">
        <v>111</v>
      </c>
      <c r="G90">
        <v>6</v>
      </c>
      <c r="H90">
        <v>965.69</v>
      </c>
      <c r="I90" s="25">
        <v>0</v>
      </c>
      <c r="J90" t="s">
        <v>109</v>
      </c>
    </row>
    <row r="91" spans="1:10">
      <c r="A91" s="24">
        <f t="shared" si="3"/>
        <v>36311</v>
      </c>
      <c r="B91" t="s">
        <v>193</v>
      </c>
      <c r="C91" t="s">
        <v>201</v>
      </c>
      <c r="D91">
        <v>11911</v>
      </c>
      <c r="E91" s="24">
        <v>42684</v>
      </c>
      <c r="F91" t="s">
        <v>108</v>
      </c>
      <c r="G91">
        <v>25</v>
      </c>
      <c r="H91">
        <v>397.84</v>
      </c>
      <c r="I91" s="25">
        <v>0</v>
      </c>
      <c r="J91" t="s">
        <v>103</v>
      </c>
    </row>
    <row r="92" spans="1:10">
      <c r="A92" s="24">
        <f t="shared" si="3"/>
        <v>36325</v>
      </c>
      <c r="B92" t="s">
        <v>193</v>
      </c>
      <c r="C92" t="s">
        <v>202</v>
      </c>
      <c r="D92">
        <v>11941</v>
      </c>
      <c r="E92" s="24">
        <v>42545</v>
      </c>
      <c r="F92" t="s">
        <v>108</v>
      </c>
      <c r="G92">
        <v>4</v>
      </c>
      <c r="H92">
        <v>73.069999999999993</v>
      </c>
      <c r="I92" s="25">
        <v>0.08</v>
      </c>
      <c r="J92" t="s">
        <v>103</v>
      </c>
    </row>
    <row r="93" spans="1:10">
      <c r="A93" s="24">
        <f t="shared" si="3"/>
        <v>36339</v>
      </c>
      <c r="B93" t="s">
        <v>193</v>
      </c>
      <c r="C93" t="s">
        <v>203</v>
      </c>
      <c r="D93">
        <v>11941</v>
      </c>
      <c r="E93" s="24">
        <v>42545</v>
      </c>
      <c r="F93" t="s">
        <v>108</v>
      </c>
      <c r="G93">
        <v>26</v>
      </c>
      <c r="H93">
        <v>4679.1000000000004</v>
      </c>
      <c r="I93" s="25">
        <v>0.05</v>
      </c>
      <c r="J93" t="s">
        <v>109</v>
      </c>
    </row>
    <row r="94" spans="1:10">
      <c r="A94" s="24">
        <f t="shared" si="3"/>
        <v>36353</v>
      </c>
      <c r="B94" t="s">
        <v>193</v>
      </c>
      <c r="C94" t="s">
        <v>204</v>
      </c>
      <c r="D94">
        <v>12096</v>
      </c>
      <c r="E94" s="24">
        <v>42632</v>
      </c>
      <c r="F94" t="s">
        <v>102</v>
      </c>
      <c r="G94">
        <v>46</v>
      </c>
      <c r="H94">
        <v>8009.5924999999988</v>
      </c>
      <c r="I94" s="25">
        <v>0.02</v>
      </c>
      <c r="J94" t="s">
        <v>103</v>
      </c>
    </row>
    <row r="95" spans="1:10">
      <c r="A95" s="24">
        <f t="shared" si="3"/>
        <v>36367</v>
      </c>
      <c r="B95" t="s">
        <v>193</v>
      </c>
      <c r="C95" t="s">
        <v>205</v>
      </c>
      <c r="D95">
        <v>12096</v>
      </c>
      <c r="E95" s="24">
        <v>42632</v>
      </c>
      <c r="F95" t="s">
        <v>102</v>
      </c>
      <c r="G95">
        <v>23</v>
      </c>
      <c r="H95">
        <v>4689.66</v>
      </c>
      <c r="I95" s="25">
        <v>0.01</v>
      </c>
      <c r="J95" t="s">
        <v>103</v>
      </c>
    </row>
    <row r="96" spans="1:10">
      <c r="A96" s="24">
        <f t="shared" si="3"/>
        <v>36381</v>
      </c>
      <c r="B96" t="s">
        <v>193</v>
      </c>
      <c r="C96" t="s">
        <v>206</v>
      </c>
      <c r="D96">
        <v>12289</v>
      </c>
      <c r="E96" s="24">
        <v>41997</v>
      </c>
      <c r="F96" t="s">
        <v>125</v>
      </c>
      <c r="G96">
        <v>25</v>
      </c>
      <c r="H96">
        <v>3019.41</v>
      </c>
      <c r="I96" s="25">
        <v>0.04</v>
      </c>
      <c r="J96" t="s">
        <v>103</v>
      </c>
    </row>
    <row r="97" spans="1:10">
      <c r="A97" s="24">
        <f t="shared" si="3"/>
        <v>36395</v>
      </c>
      <c r="B97" t="s">
        <v>193</v>
      </c>
      <c r="C97" t="s">
        <v>207</v>
      </c>
      <c r="D97">
        <v>12352</v>
      </c>
      <c r="E97" s="24">
        <v>42452</v>
      </c>
      <c r="F97" t="s">
        <v>102</v>
      </c>
      <c r="G97">
        <v>5</v>
      </c>
      <c r="H97">
        <v>36.86</v>
      </c>
      <c r="I97" s="25">
        <v>7.0000000000000007E-2</v>
      </c>
      <c r="J97" t="s">
        <v>103</v>
      </c>
    </row>
    <row r="98" spans="1:10">
      <c r="A98" s="24">
        <f t="shared" si="3"/>
        <v>36409</v>
      </c>
      <c r="B98" t="s">
        <v>193</v>
      </c>
      <c r="C98" t="s">
        <v>208</v>
      </c>
      <c r="D98">
        <v>2631</v>
      </c>
      <c r="E98" s="24">
        <v>42636</v>
      </c>
      <c r="F98" t="s">
        <v>125</v>
      </c>
      <c r="G98">
        <v>27</v>
      </c>
      <c r="H98">
        <v>1078.49</v>
      </c>
      <c r="I98" s="25">
        <v>0.08</v>
      </c>
      <c r="J98" t="s">
        <v>103</v>
      </c>
    </row>
    <row r="99" spans="1:10">
      <c r="A99" s="24">
        <f t="shared" si="3"/>
        <v>36423</v>
      </c>
      <c r="B99" t="s">
        <v>193</v>
      </c>
      <c r="C99" t="s">
        <v>209</v>
      </c>
      <c r="D99">
        <v>515</v>
      </c>
      <c r="E99" s="24">
        <v>42610</v>
      </c>
      <c r="F99" t="s">
        <v>106</v>
      </c>
      <c r="G99">
        <v>19</v>
      </c>
      <c r="H99">
        <v>394.27</v>
      </c>
      <c r="I99" s="25">
        <v>0.08</v>
      </c>
      <c r="J99" t="s">
        <v>103</v>
      </c>
    </row>
    <row r="100" spans="1:10">
      <c r="A100" s="24">
        <f t="shared" si="3"/>
        <v>36437</v>
      </c>
      <c r="B100" t="s">
        <v>193</v>
      </c>
      <c r="C100" t="s">
        <v>210</v>
      </c>
      <c r="D100">
        <v>12419</v>
      </c>
      <c r="E100" s="24">
        <v>41927</v>
      </c>
      <c r="F100" t="s">
        <v>108</v>
      </c>
      <c r="G100">
        <v>12</v>
      </c>
      <c r="H100">
        <v>22079.47</v>
      </c>
      <c r="I100" s="25">
        <v>0.06</v>
      </c>
      <c r="J100" t="s">
        <v>103</v>
      </c>
    </row>
    <row r="101" spans="1:10">
      <c r="A101" s="24">
        <f t="shared" si="3"/>
        <v>36451</v>
      </c>
      <c r="B101" t="s">
        <v>193</v>
      </c>
      <c r="C101" t="s">
        <v>211</v>
      </c>
      <c r="D101">
        <v>12485</v>
      </c>
      <c r="E101" s="24">
        <v>42589</v>
      </c>
      <c r="F101" t="s">
        <v>108</v>
      </c>
      <c r="G101">
        <v>24</v>
      </c>
      <c r="H101">
        <v>5407.31</v>
      </c>
      <c r="I101" s="25">
        <v>0.04</v>
      </c>
      <c r="J101" t="s">
        <v>109</v>
      </c>
    </row>
    <row r="102" spans="1:10">
      <c r="A102" s="24">
        <f t="shared" si="3"/>
        <v>36465</v>
      </c>
      <c r="B102" t="s">
        <v>193</v>
      </c>
      <c r="C102" t="s">
        <v>212</v>
      </c>
      <c r="D102">
        <v>2532</v>
      </c>
      <c r="E102" s="24">
        <v>41922</v>
      </c>
      <c r="F102" t="s">
        <v>111</v>
      </c>
      <c r="G102">
        <v>24</v>
      </c>
      <c r="H102">
        <v>426.03700000000003</v>
      </c>
      <c r="I102" s="25">
        <v>0.01</v>
      </c>
      <c r="J102" t="s">
        <v>103</v>
      </c>
    </row>
    <row r="103" spans="1:10">
      <c r="A103" s="24">
        <f t="shared" si="3"/>
        <v>36479</v>
      </c>
      <c r="B103" t="s">
        <v>193</v>
      </c>
      <c r="C103" t="s">
        <v>213</v>
      </c>
      <c r="D103">
        <v>12544</v>
      </c>
      <c r="E103" s="24">
        <v>42066</v>
      </c>
      <c r="F103" t="s">
        <v>125</v>
      </c>
      <c r="G103">
        <v>34</v>
      </c>
      <c r="H103">
        <v>74.3</v>
      </c>
      <c r="I103" s="25">
        <v>0.08</v>
      </c>
      <c r="J103" t="s">
        <v>103</v>
      </c>
    </row>
    <row r="104" spans="1:10">
      <c r="A104" s="24">
        <f t="shared" si="3"/>
        <v>36493</v>
      </c>
      <c r="B104" t="s">
        <v>193</v>
      </c>
      <c r="C104" t="s">
        <v>214</v>
      </c>
      <c r="D104">
        <v>12704</v>
      </c>
      <c r="E104" s="24">
        <v>42409</v>
      </c>
      <c r="F104" t="s">
        <v>125</v>
      </c>
      <c r="G104">
        <v>44</v>
      </c>
      <c r="H104">
        <v>21506.77</v>
      </c>
      <c r="I104" s="25">
        <v>0.06</v>
      </c>
      <c r="J104" t="s">
        <v>103</v>
      </c>
    </row>
    <row r="105" spans="1:10">
      <c r="A105" s="24">
        <f t="shared" si="3"/>
        <v>36507</v>
      </c>
      <c r="B105" t="s">
        <v>215</v>
      </c>
      <c r="C105" t="s">
        <v>216</v>
      </c>
      <c r="D105">
        <v>2275</v>
      </c>
      <c r="E105" s="24">
        <v>42664</v>
      </c>
      <c r="F105" t="s">
        <v>106</v>
      </c>
      <c r="G105">
        <v>49</v>
      </c>
      <c r="H105">
        <v>278</v>
      </c>
      <c r="I105" s="25">
        <v>0.08</v>
      </c>
      <c r="J105" t="s">
        <v>103</v>
      </c>
    </row>
    <row r="106" spans="1:10">
      <c r="A106" s="24">
        <f t="shared" si="3"/>
        <v>36521</v>
      </c>
      <c r="B106" t="s">
        <v>215</v>
      </c>
      <c r="C106" t="s">
        <v>217</v>
      </c>
      <c r="D106">
        <v>12704</v>
      </c>
      <c r="E106" s="24">
        <v>42409</v>
      </c>
      <c r="F106" t="s">
        <v>125</v>
      </c>
      <c r="G106">
        <v>28</v>
      </c>
      <c r="H106">
        <v>669.02</v>
      </c>
      <c r="I106" s="25">
        <v>0.02</v>
      </c>
      <c r="J106" t="s">
        <v>109</v>
      </c>
    </row>
    <row r="107" spans="1:10">
      <c r="A107" s="24">
        <f t="shared" si="3"/>
        <v>36535</v>
      </c>
      <c r="B107" t="s">
        <v>215</v>
      </c>
      <c r="C107" t="s">
        <v>218</v>
      </c>
      <c r="D107">
        <v>12771</v>
      </c>
      <c r="E107" s="24">
        <v>42021</v>
      </c>
      <c r="F107" t="s">
        <v>108</v>
      </c>
      <c r="G107">
        <v>40</v>
      </c>
      <c r="H107">
        <v>1143.49</v>
      </c>
      <c r="I107" s="25">
        <v>0.08</v>
      </c>
      <c r="J107" t="s">
        <v>103</v>
      </c>
    </row>
    <row r="108" spans="1:10">
      <c r="A108" s="24">
        <f t="shared" si="3"/>
        <v>36549</v>
      </c>
      <c r="B108" t="s">
        <v>215</v>
      </c>
      <c r="C108" t="s">
        <v>219</v>
      </c>
      <c r="D108">
        <v>12771</v>
      </c>
      <c r="E108" s="24">
        <v>42021</v>
      </c>
      <c r="F108" t="s">
        <v>108</v>
      </c>
      <c r="G108">
        <v>46</v>
      </c>
      <c r="H108">
        <v>78.08</v>
      </c>
      <c r="I108" s="25">
        <v>0.01</v>
      </c>
      <c r="J108" t="s">
        <v>103</v>
      </c>
    </row>
    <row r="109" spans="1:10">
      <c r="A109" s="24">
        <f t="shared" si="3"/>
        <v>36563</v>
      </c>
      <c r="B109" t="s">
        <v>215</v>
      </c>
      <c r="C109" t="s">
        <v>220</v>
      </c>
      <c r="D109">
        <v>868</v>
      </c>
      <c r="E109" s="24">
        <v>42529</v>
      </c>
      <c r="F109" t="s">
        <v>106</v>
      </c>
      <c r="G109">
        <v>32</v>
      </c>
      <c r="H109">
        <v>716.84</v>
      </c>
      <c r="I109" s="25">
        <v>0</v>
      </c>
      <c r="J109" t="s">
        <v>103</v>
      </c>
    </row>
    <row r="110" spans="1:10">
      <c r="A110" s="24">
        <f t="shared" si="3"/>
        <v>36577</v>
      </c>
      <c r="B110" t="s">
        <v>221</v>
      </c>
      <c r="C110" t="s">
        <v>222</v>
      </c>
      <c r="D110">
        <v>12929</v>
      </c>
      <c r="E110" s="24">
        <v>42612</v>
      </c>
      <c r="F110" t="s">
        <v>108</v>
      </c>
      <c r="G110">
        <v>19</v>
      </c>
      <c r="H110">
        <v>5297.47</v>
      </c>
      <c r="I110" s="25">
        <v>0.02</v>
      </c>
      <c r="J110" t="s">
        <v>109</v>
      </c>
    </row>
    <row r="111" spans="1:10">
      <c r="A111" s="24">
        <f t="shared" si="3"/>
        <v>36591</v>
      </c>
      <c r="B111" t="s">
        <v>221</v>
      </c>
      <c r="C111" t="s">
        <v>223</v>
      </c>
      <c r="D111">
        <v>12929</v>
      </c>
      <c r="E111" s="24">
        <v>42612</v>
      </c>
      <c r="F111" t="s">
        <v>108</v>
      </c>
      <c r="G111">
        <v>20</v>
      </c>
      <c r="H111">
        <v>95.3</v>
      </c>
      <c r="I111" s="25">
        <v>0</v>
      </c>
      <c r="J111" t="s">
        <v>103</v>
      </c>
    </row>
    <row r="112" spans="1:10">
      <c r="A112" s="24">
        <f t="shared" si="3"/>
        <v>36605</v>
      </c>
      <c r="B112" t="s">
        <v>221</v>
      </c>
      <c r="C112" t="s">
        <v>224</v>
      </c>
      <c r="D112">
        <v>13280</v>
      </c>
      <c r="E112" s="24">
        <v>42258</v>
      </c>
      <c r="F112" t="s">
        <v>111</v>
      </c>
      <c r="G112">
        <v>40</v>
      </c>
      <c r="H112">
        <v>460.68</v>
      </c>
      <c r="I112" s="25">
        <v>0.01</v>
      </c>
      <c r="J112" t="s">
        <v>103</v>
      </c>
    </row>
    <row r="113" spans="1:10">
      <c r="A113" s="24">
        <f t="shared" si="3"/>
        <v>36619</v>
      </c>
      <c r="B113" t="s">
        <v>221</v>
      </c>
      <c r="C113" t="s">
        <v>225</v>
      </c>
      <c r="D113">
        <v>13280</v>
      </c>
      <c r="E113" s="24">
        <v>42258</v>
      </c>
      <c r="F113" t="s">
        <v>111</v>
      </c>
      <c r="G113">
        <v>49</v>
      </c>
      <c r="H113">
        <v>318.75849999999997</v>
      </c>
      <c r="I113" s="25">
        <v>0.1</v>
      </c>
      <c r="J113" t="s">
        <v>103</v>
      </c>
    </row>
    <row r="114" spans="1:10">
      <c r="A114" s="24">
        <f t="shared" si="3"/>
        <v>36633</v>
      </c>
      <c r="B114" t="s">
        <v>221</v>
      </c>
      <c r="C114" t="s">
        <v>226</v>
      </c>
      <c r="D114">
        <v>807</v>
      </c>
      <c r="E114" s="24">
        <v>42697</v>
      </c>
      <c r="F114" t="s">
        <v>102</v>
      </c>
      <c r="G114">
        <v>45</v>
      </c>
      <c r="H114">
        <v>196.85</v>
      </c>
      <c r="I114" s="25">
        <v>0.01</v>
      </c>
      <c r="J114" t="s">
        <v>103</v>
      </c>
    </row>
    <row r="115" spans="1:10">
      <c r="A115" s="24">
        <f t="shared" si="3"/>
        <v>36647</v>
      </c>
      <c r="B115" t="s">
        <v>221</v>
      </c>
      <c r="C115" t="s">
        <v>227</v>
      </c>
      <c r="D115">
        <v>13313</v>
      </c>
      <c r="E115" s="24">
        <v>42201</v>
      </c>
      <c r="F115" t="s">
        <v>106</v>
      </c>
      <c r="G115">
        <v>47</v>
      </c>
      <c r="H115">
        <v>1020.61</v>
      </c>
      <c r="I115" s="25">
        <v>0.04</v>
      </c>
      <c r="J115" t="s">
        <v>103</v>
      </c>
    </row>
    <row r="116" spans="1:10">
      <c r="A116" s="24">
        <f t="shared" si="3"/>
        <v>36661</v>
      </c>
      <c r="B116" t="s">
        <v>228</v>
      </c>
      <c r="C116" t="s">
        <v>229</v>
      </c>
      <c r="D116">
        <v>613</v>
      </c>
      <c r="E116" s="24">
        <v>41807</v>
      </c>
      <c r="F116" t="s">
        <v>111</v>
      </c>
      <c r="G116">
        <v>12</v>
      </c>
      <c r="H116">
        <v>93.54</v>
      </c>
      <c r="I116" s="25">
        <v>0.03</v>
      </c>
      <c r="J116" t="s">
        <v>103</v>
      </c>
    </row>
    <row r="117" spans="1:10">
      <c r="A117" s="24">
        <f t="shared" si="3"/>
        <v>36675</v>
      </c>
      <c r="B117" t="s">
        <v>228</v>
      </c>
      <c r="C117" t="s">
        <v>230</v>
      </c>
      <c r="D117">
        <v>1344</v>
      </c>
      <c r="E117" s="24">
        <v>42475</v>
      </c>
      <c r="F117" t="s">
        <v>125</v>
      </c>
      <c r="G117">
        <v>15</v>
      </c>
      <c r="H117">
        <v>834.904</v>
      </c>
      <c r="I117" s="25">
        <v>0.06</v>
      </c>
      <c r="J117" t="s">
        <v>103</v>
      </c>
    </row>
    <row r="118" spans="1:10">
      <c r="A118" s="24">
        <f t="shared" si="3"/>
        <v>36689</v>
      </c>
      <c r="B118" t="s">
        <v>228</v>
      </c>
      <c r="C118" t="s">
        <v>231</v>
      </c>
      <c r="D118">
        <v>643</v>
      </c>
      <c r="E118" s="24">
        <v>41722</v>
      </c>
      <c r="F118" t="s">
        <v>111</v>
      </c>
      <c r="G118">
        <v>21</v>
      </c>
      <c r="H118">
        <v>2781.82</v>
      </c>
      <c r="I118" s="25">
        <v>7.0000000000000007E-2</v>
      </c>
      <c r="J118" t="s">
        <v>120</v>
      </c>
    </row>
    <row r="119" spans="1:10">
      <c r="A119" s="24">
        <f t="shared" si="3"/>
        <v>36703</v>
      </c>
      <c r="B119" t="s">
        <v>228</v>
      </c>
      <c r="C119" t="s">
        <v>232</v>
      </c>
      <c r="D119">
        <v>1344</v>
      </c>
      <c r="E119" s="24">
        <v>42475</v>
      </c>
      <c r="F119" t="s">
        <v>125</v>
      </c>
      <c r="G119">
        <v>18</v>
      </c>
      <c r="H119">
        <v>2480.9205000000002</v>
      </c>
      <c r="I119" s="25">
        <v>0.01</v>
      </c>
      <c r="J119" t="s">
        <v>103</v>
      </c>
    </row>
    <row r="120" spans="1:10">
      <c r="A120" s="24">
        <f t="shared" si="3"/>
        <v>36717</v>
      </c>
      <c r="B120" t="s">
        <v>228</v>
      </c>
      <c r="C120" t="s">
        <v>233</v>
      </c>
      <c r="D120">
        <v>2277</v>
      </c>
      <c r="E120" s="24">
        <v>41640</v>
      </c>
      <c r="F120" t="s">
        <v>106</v>
      </c>
      <c r="G120">
        <v>10</v>
      </c>
      <c r="H120">
        <v>66.540000000000006</v>
      </c>
      <c r="I120" s="25">
        <v>0.01</v>
      </c>
      <c r="J120" t="s">
        <v>103</v>
      </c>
    </row>
    <row r="121" spans="1:10">
      <c r="A121" s="24">
        <f t="shared" si="3"/>
        <v>36731</v>
      </c>
      <c r="B121" t="s">
        <v>228</v>
      </c>
      <c r="C121" t="s">
        <v>234</v>
      </c>
      <c r="D121">
        <v>13346</v>
      </c>
      <c r="E121" s="24">
        <v>42689</v>
      </c>
      <c r="F121" t="s">
        <v>125</v>
      </c>
      <c r="G121">
        <v>44</v>
      </c>
      <c r="H121">
        <v>268.33999999999997</v>
      </c>
      <c r="I121" s="25">
        <v>0.09</v>
      </c>
      <c r="J121" t="s">
        <v>103</v>
      </c>
    </row>
    <row r="122" spans="1:10">
      <c r="A122" s="24">
        <f t="shared" si="3"/>
        <v>36745</v>
      </c>
      <c r="B122" t="s">
        <v>228</v>
      </c>
      <c r="C122" t="s">
        <v>235</v>
      </c>
      <c r="D122">
        <v>13702</v>
      </c>
      <c r="E122" s="24">
        <v>41892</v>
      </c>
      <c r="F122" t="s">
        <v>125</v>
      </c>
      <c r="G122">
        <v>6</v>
      </c>
      <c r="H122">
        <v>209</v>
      </c>
      <c r="I122" s="25">
        <v>0.08</v>
      </c>
      <c r="J122" t="s">
        <v>103</v>
      </c>
    </row>
    <row r="123" spans="1:10">
      <c r="A123" s="24">
        <f t="shared" si="3"/>
        <v>36759</v>
      </c>
      <c r="B123" t="s">
        <v>228</v>
      </c>
      <c r="C123" t="s">
        <v>236</v>
      </c>
      <c r="D123">
        <v>13795</v>
      </c>
      <c r="E123" s="24">
        <v>41739</v>
      </c>
      <c r="F123" t="s">
        <v>106</v>
      </c>
      <c r="G123">
        <v>30</v>
      </c>
      <c r="H123">
        <v>501.32</v>
      </c>
      <c r="I123" s="25">
        <v>0.04</v>
      </c>
      <c r="J123" t="s">
        <v>103</v>
      </c>
    </row>
    <row r="124" spans="1:10">
      <c r="A124" s="24">
        <f t="shared" si="3"/>
        <v>36773</v>
      </c>
      <c r="B124" t="s">
        <v>228</v>
      </c>
      <c r="C124" t="s">
        <v>237</v>
      </c>
      <c r="D124">
        <v>13795</v>
      </c>
      <c r="E124" s="24">
        <v>41739</v>
      </c>
      <c r="F124" t="s">
        <v>106</v>
      </c>
      <c r="G124">
        <v>23</v>
      </c>
      <c r="H124">
        <v>275.16000000000003</v>
      </c>
      <c r="I124" s="25">
        <v>0.05</v>
      </c>
      <c r="J124" t="s">
        <v>120</v>
      </c>
    </row>
    <row r="125" spans="1:10">
      <c r="A125" s="24">
        <f t="shared" si="3"/>
        <v>36787</v>
      </c>
      <c r="B125" t="s">
        <v>228</v>
      </c>
      <c r="C125" t="s">
        <v>238</v>
      </c>
      <c r="D125">
        <v>13795</v>
      </c>
      <c r="E125" s="24">
        <v>41739</v>
      </c>
      <c r="F125" t="s">
        <v>106</v>
      </c>
      <c r="G125">
        <v>37</v>
      </c>
      <c r="H125">
        <v>1302.99</v>
      </c>
      <c r="I125" s="25">
        <v>0.02</v>
      </c>
      <c r="J125" t="s">
        <v>103</v>
      </c>
    </row>
    <row r="126" spans="1:10">
      <c r="A126" s="24">
        <f t="shared" si="3"/>
        <v>36801</v>
      </c>
      <c r="B126" t="s">
        <v>228</v>
      </c>
      <c r="C126" t="s">
        <v>239</v>
      </c>
      <c r="D126">
        <v>14116</v>
      </c>
      <c r="E126" s="24">
        <v>41921</v>
      </c>
      <c r="F126" t="s">
        <v>111</v>
      </c>
      <c r="G126">
        <v>1</v>
      </c>
      <c r="H126">
        <v>40.1</v>
      </c>
      <c r="I126" s="25">
        <v>0.09</v>
      </c>
      <c r="J126" t="s">
        <v>103</v>
      </c>
    </row>
    <row r="127" spans="1:10">
      <c r="A127" s="24">
        <f t="shared" si="3"/>
        <v>36815</v>
      </c>
      <c r="B127" t="s">
        <v>228</v>
      </c>
      <c r="C127" t="s">
        <v>240</v>
      </c>
      <c r="D127">
        <v>14116</v>
      </c>
      <c r="E127" s="24">
        <v>41921</v>
      </c>
      <c r="F127" t="s">
        <v>111</v>
      </c>
      <c r="G127">
        <v>42</v>
      </c>
      <c r="H127">
        <v>1414.05</v>
      </c>
      <c r="I127" s="25">
        <v>0.09</v>
      </c>
      <c r="J127" t="s">
        <v>103</v>
      </c>
    </row>
    <row r="128" spans="1:10">
      <c r="A128" s="24">
        <f t="shared" si="3"/>
        <v>36829</v>
      </c>
      <c r="B128" t="s">
        <v>228</v>
      </c>
      <c r="C128" t="s">
        <v>241</v>
      </c>
      <c r="D128">
        <v>2532</v>
      </c>
      <c r="E128" s="24">
        <v>41922</v>
      </c>
      <c r="F128" t="s">
        <v>111</v>
      </c>
      <c r="G128">
        <v>39</v>
      </c>
      <c r="H128">
        <v>282.07</v>
      </c>
      <c r="I128" s="25">
        <v>0.03</v>
      </c>
      <c r="J128" t="s">
        <v>103</v>
      </c>
    </row>
    <row r="129" spans="1:10">
      <c r="A129" s="24">
        <f t="shared" si="3"/>
        <v>36843</v>
      </c>
      <c r="B129" t="s">
        <v>228</v>
      </c>
      <c r="C129" t="s">
        <v>242</v>
      </c>
      <c r="D129">
        <v>14372</v>
      </c>
      <c r="E129" s="24">
        <v>42666</v>
      </c>
      <c r="F129" t="s">
        <v>108</v>
      </c>
      <c r="G129">
        <v>34</v>
      </c>
      <c r="H129">
        <v>5350.61</v>
      </c>
      <c r="I129" s="25">
        <v>0.09</v>
      </c>
      <c r="J129" t="s">
        <v>109</v>
      </c>
    </row>
    <row r="130" spans="1:10">
      <c r="A130" s="24">
        <f t="shared" si="3"/>
        <v>36857</v>
      </c>
      <c r="B130" t="s">
        <v>228</v>
      </c>
      <c r="C130" t="s">
        <v>243</v>
      </c>
      <c r="D130">
        <v>14726</v>
      </c>
      <c r="E130" s="24">
        <v>42377</v>
      </c>
      <c r="F130" t="s">
        <v>125</v>
      </c>
      <c r="G130">
        <v>15</v>
      </c>
      <c r="H130">
        <v>310.87</v>
      </c>
      <c r="I130" s="25">
        <v>7.0000000000000007E-2</v>
      </c>
      <c r="J130" t="s">
        <v>103</v>
      </c>
    </row>
    <row r="131" spans="1:10">
      <c r="A131" s="24">
        <f t="shared" si="3"/>
        <v>36871</v>
      </c>
      <c r="B131" t="s">
        <v>228</v>
      </c>
      <c r="C131" t="s">
        <v>244</v>
      </c>
      <c r="D131">
        <v>14819</v>
      </c>
      <c r="E131" s="24">
        <v>42394</v>
      </c>
      <c r="F131" t="s">
        <v>106</v>
      </c>
      <c r="G131">
        <v>48</v>
      </c>
      <c r="H131">
        <v>9062.73</v>
      </c>
      <c r="I131" s="25">
        <v>0.09</v>
      </c>
      <c r="J131" t="s">
        <v>103</v>
      </c>
    </row>
    <row r="132" spans="1:10">
      <c r="A132" s="24">
        <f t="shared" ref="A132:A195" si="4">EDATE(A131, 0) + 14</f>
        <v>36885</v>
      </c>
      <c r="B132" t="s">
        <v>228</v>
      </c>
      <c r="C132" t="s">
        <v>245</v>
      </c>
      <c r="D132">
        <v>2277</v>
      </c>
      <c r="E132" s="24">
        <v>41640</v>
      </c>
      <c r="F132" t="s">
        <v>106</v>
      </c>
      <c r="G132">
        <v>21</v>
      </c>
      <c r="H132">
        <v>845.32</v>
      </c>
      <c r="I132" s="25">
        <v>0.06</v>
      </c>
      <c r="J132" t="s">
        <v>103</v>
      </c>
    </row>
    <row r="133" spans="1:10">
      <c r="A133" s="24">
        <f t="shared" si="4"/>
        <v>36899</v>
      </c>
      <c r="B133" t="s">
        <v>228</v>
      </c>
      <c r="C133" t="s">
        <v>246</v>
      </c>
      <c r="D133">
        <v>14819</v>
      </c>
      <c r="E133" s="24">
        <v>42394</v>
      </c>
      <c r="F133" t="s">
        <v>106</v>
      </c>
      <c r="G133">
        <v>27</v>
      </c>
      <c r="H133">
        <v>1584.1</v>
      </c>
      <c r="I133" s="25">
        <v>7.0000000000000007E-2</v>
      </c>
      <c r="J133" t="s">
        <v>109</v>
      </c>
    </row>
    <row r="134" spans="1:10">
      <c r="A134" s="24">
        <f t="shared" si="4"/>
        <v>36913</v>
      </c>
      <c r="B134" t="s">
        <v>228</v>
      </c>
      <c r="C134" t="s">
        <v>247</v>
      </c>
      <c r="D134">
        <v>4132</v>
      </c>
      <c r="E134" s="24">
        <v>41787</v>
      </c>
      <c r="F134" t="s">
        <v>106</v>
      </c>
      <c r="G134">
        <v>5</v>
      </c>
      <c r="H134">
        <v>14.76</v>
      </c>
      <c r="I134" s="25">
        <v>0.01</v>
      </c>
      <c r="J134" t="s">
        <v>103</v>
      </c>
    </row>
    <row r="135" spans="1:10">
      <c r="A135" s="24">
        <f t="shared" si="4"/>
        <v>36927</v>
      </c>
      <c r="B135" t="s">
        <v>228</v>
      </c>
      <c r="C135" t="s">
        <v>248</v>
      </c>
      <c r="D135">
        <v>15106</v>
      </c>
      <c r="E135" s="24">
        <v>41666</v>
      </c>
      <c r="F135" t="s">
        <v>106</v>
      </c>
      <c r="G135">
        <v>42</v>
      </c>
      <c r="H135">
        <v>283.58</v>
      </c>
      <c r="I135" s="25">
        <v>0.03</v>
      </c>
      <c r="J135" t="s">
        <v>103</v>
      </c>
    </row>
    <row r="136" spans="1:10">
      <c r="A136" s="24">
        <f t="shared" si="4"/>
        <v>36941</v>
      </c>
      <c r="B136" t="s">
        <v>228</v>
      </c>
      <c r="C136" t="s">
        <v>249</v>
      </c>
      <c r="D136">
        <v>613</v>
      </c>
      <c r="E136" s="24">
        <v>41807</v>
      </c>
      <c r="F136" t="s">
        <v>111</v>
      </c>
      <c r="G136">
        <v>22</v>
      </c>
      <c r="H136">
        <v>905.08</v>
      </c>
      <c r="I136" s="25">
        <v>0.09</v>
      </c>
      <c r="J136" t="s">
        <v>103</v>
      </c>
    </row>
    <row r="137" spans="1:10">
      <c r="A137" s="24">
        <f t="shared" si="4"/>
        <v>36955</v>
      </c>
      <c r="B137" t="s">
        <v>228</v>
      </c>
      <c r="C137" t="s">
        <v>250</v>
      </c>
      <c r="D137">
        <v>515</v>
      </c>
      <c r="E137" s="24">
        <v>42610</v>
      </c>
      <c r="F137" t="s">
        <v>106</v>
      </c>
      <c r="G137">
        <v>21</v>
      </c>
      <c r="H137">
        <v>146.69</v>
      </c>
      <c r="I137" s="25">
        <v>0.05</v>
      </c>
      <c r="J137" t="s">
        <v>103</v>
      </c>
    </row>
    <row r="138" spans="1:10">
      <c r="A138" s="24">
        <f t="shared" si="4"/>
        <v>36969</v>
      </c>
      <c r="B138" t="s">
        <v>228</v>
      </c>
      <c r="C138" t="s">
        <v>251</v>
      </c>
      <c r="D138">
        <v>15106</v>
      </c>
      <c r="E138" s="24">
        <v>41666</v>
      </c>
      <c r="F138" t="s">
        <v>106</v>
      </c>
      <c r="G138">
        <v>39</v>
      </c>
      <c r="H138">
        <v>5403.37</v>
      </c>
      <c r="I138" s="25">
        <v>0.06</v>
      </c>
      <c r="J138" t="s">
        <v>109</v>
      </c>
    </row>
    <row r="139" spans="1:10">
      <c r="A139" s="24">
        <f t="shared" si="4"/>
        <v>36983</v>
      </c>
      <c r="B139" t="s">
        <v>228</v>
      </c>
      <c r="C139" t="s">
        <v>252</v>
      </c>
      <c r="D139">
        <v>15106</v>
      </c>
      <c r="E139" s="24">
        <v>41666</v>
      </c>
      <c r="F139" t="s">
        <v>106</v>
      </c>
      <c r="G139">
        <v>35</v>
      </c>
      <c r="H139">
        <v>82.15</v>
      </c>
      <c r="I139" s="25">
        <v>0.03</v>
      </c>
      <c r="J139" t="s">
        <v>103</v>
      </c>
    </row>
    <row r="140" spans="1:10">
      <c r="A140" s="24">
        <f t="shared" si="4"/>
        <v>36997</v>
      </c>
      <c r="B140" t="s">
        <v>228</v>
      </c>
      <c r="C140" t="s">
        <v>253</v>
      </c>
      <c r="D140">
        <v>15108</v>
      </c>
      <c r="E140" s="24">
        <v>42243</v>
      </c>
      <c r="F140" t="s">
        <v>111</v>
      </c>
      <c r="G140">
        <v>50</v>
      </c>
      <c r="H140">
        <v>2066.16</v>
      </c>
      <c r="I140" s="25">
        <v>0.02</v>
      </c>
      <c r="J140" t="s">
        <v>103</v>
      </c>
    </row>
    <row r="141" spans="1:10">
      <c r="A141" s="24">
        <f t="shared" si="4"/>
        <v>37011</v>
      </c>
      <c r="B141" t="s">
        <v>228</v>
      </c>
      <c r="C141" t="s">
        <v>254</v>
      </c>
      <c r="D141">
        <v>15205</v>
      </c>
      <c r="E141" s="24">
        <v>41715</v>
      </c>
      <c r="F141" t="s">
        <v>108</v>
      </c>
      <c r="G141">
        <v>18</v>
      </c>
      <c r="H141">
        <v>4605.3599999999997</v>
      </c>
      <c r="I141" s="25">
        <v>0.02</v>
      </c>
      <c r="J141" t="s">
        <v>109</v>
      </c>
    </row>
    <row r="142" spans="1:10">
      <c r="A142" s="24">
        <f t="shared" si="4"/>
        <v>37025</v>
      </c>
      <c r="B142" t="s">
        <v>228</v>
      </c>
      <c r="C142" t="s">
        <v>255</v>
      </c>
      <c r="D142">
        <v>15205</v>
      </c>
      <c r="E142" s="24">
        <v>41715</v>
      </c>
      <c r="F142" t="s">
        <v>108</v>
      </c>
      <c r="G142">
        <v>42</v>
      </c>
      <c r="H142">
        <v>1753.51</v>
      </c>
      <c r="I142" s="25">
        <v>0.02</v>
      </c>
      <c r="J142" t="s">
        <v>103</v>
      </c>
    </row>
    <row r="143" spans="1:10">
      <c r="A143" s="24">
        <f t="shared" si="4"/>
        <v>37039</v>
      </c>
      <c r="B143" t="s">
        <v>228</v>
      </c>
      <c r="C143" t="s">
        <v>256</v>
      </c>
      <c r="D143">
        <v>15591</v>
      </c>
      <c r="E143" s="24">
        <v>42527</v>
      </c>
      <c r="F143" t="s">
        <v>108</v>
      </c>
      <c r="G143">
        <v>31</v>
      </c>
      <c r="H143">
        <v>426.34</v>
      </c>
      <c r="I143" s="25">
        <v>0</v>
      </c>
      <c r="J143" t="s">
        <v>103</v>
      </c>
    </row>
    <row r="144" spans="1:10">
      <c r="A144" s="24">
        <f t="shared" si="4"/>
        <v>37053</v>
      </c>
      <c r="B144" t="s">
        <v>228</v>
      </c>
      <c r="C144" t="s">
        <v>257</v>
      </c>
      <c r="D144">
        <v>15907</v>
      </c>
      <c r="E144" s="24">
        <v>41740</v>
      </c>
      <c r="F144" t="s">
        <v>111</v>
      </c>
      <c r="G144">
        <v>36</v>
      </c>
      <c r="H144">
        <v>1837.44</v>
      </c>
      <c r="I144" s="25">
        <v>0.01</v>
      </c>
      <c r="J144" t="s">
        <v>109</v>
      </c>
    </row>
    <row r="145" spans="1:10">
      <c r="A145" s="24">
        <f t="shared" si="4"/>
        <v>37067</v>
      </c>
      <c r="B145" t="s">
        <v>228</v>
      </c>
      <c r="C145" t="s">
        <v>258</v>
      </c>
      <c r="D145">
        <v>15907</v>
      </c>
      <c r="E145" s="24">
        <v>41740</v>
      </c>
      <c r="F145" t="s">
        <v>111</v>
      </c>
      <c r="G145">
        <v>36</v>
      </c>
      <c r="H145">
        <v>3722.29</v>
      </c>
      <c r="I145" s="25">
        <v>0.04</v>
      </c>
      <c r="J145" t="s">
        <v>120</v>
      </c>
    </row>
    <row r="146" spans="1:10">
      <c r="A146" s="24">
        <f t="shared" si="4"/>
        <v>37081</v>
      </c>
      <c r="B146" t="s">
        <v>228</v>
      </c>
      <c r="C146" t="s">
        <v>259</v>
      </c>
      <c r="D146">
        <v>15907</v>
      </c>
      <c r="E146" s="24">
        <v>41740</v>
      </c>
      <c r="F146" t="s">
        <v>111</v>
      </c>
      <c r="G146">
        <v>4</v>
      </c>
      <c r="H146">
        <v>28.05</v>
      </c>
      <c r="I146" s="25">
        <v>0.09</v>
      </c>
      <c r="J146" t="s">
        <v>103</v>
      </c>
    </row>
    <row r="147" spans="1:10">
      <c r="A147" s="24">
        <f t="shared" si="4"/>
        <v>37095</v>
      </c>
      <c r="B147" t="s">
        <v>228</v>
      </c>
      <c r="C147" t="s">
        <v>260</v>
      </c>
      <c r="D147">
        <v>15937</v>
      </c>
      <c r="E147" s="24">
        <v>42680</v>
      </c>
      <c r="F147" t="s">
        <v>125</v>
      </c>
      <c r="G147">
        <v>32</v>
      </c>
      <c r="H147">
        <v>311.44</v>
      </c>
      <c r="I147" s="25">
        <v>0.04</v>
      </c>
      <c r="J147" t="s">
        <v>103</v>
      </c>
    </row>
    <row r="148" spans="1:10">
      <c r="A148" s="24">
        <f t="shared" si="4"/>
        <v>37109</v>
      </c>
      <c r="B148" t="s">
        <v>228</v>
      </c>
      <c r="C148" t="s">
        <v>261</v>
      </c>
      <c r="D148">
        <v>15937</v>
      </c>
      <c r="E148" s="24">
        <v>42680</v>
      </c>
      <c r="F148" t="s">
        <v>125</v>
      </c>
      <c r="G148">
        <v>17</v>
      </c>
      <c r="H148">
        <v>215.65</v>
      </c>
      <c r="I148" s="25">
        <v>0.01</v>
      </c>
      <c r="J148" t="s">
        <v>120</v>
      </c>
    </row>
    <row r="149" spans="1:10">
      <c r="A149" s="24">
        <f t="shared" si="4"/>
        <v>37123</v>
      </c>
      <c r="B149" t="s">
        <v>228</v>
      </c>
      <c r="C149" t="s">
        <v>262</v>
      </c>
      <c r="D149">
        <v>16039</v>
      </c>
      <c r="E149" s="24">
        <v>42506</v>
      </c>
      <c r="F149" t="s">
        <v>111</v>
      </c>
      <c r="G149">
        <v>3</v>
      </c>
      <c r="H149">
        <v>121.12</v>
      </c>
      <c r="I149" s="25">
        <v>0.1</v>
      </c>
      <c r="J149" t="s">
        <v>103</v>
      </c>
    </row>
    <row r="150" spans="1:10">
      <c r="A150" s="24">
        <f t="shared" si="4"/>
        <v>37137</v>
      </c>
      <c r="B150" t="s">
        <v>228</v>
      </c>
      <c r="C150" t="s">
        <v>263</v>
      </c>
      <c r="D150">
        <v>16193</v>
      </c>
      <c r="E150" s="24">
        <v>42469</v>
      </c>
      <c r="F150" t="s">
        <v>106</v>
      </c>
      <c r="G150">
        <v>8</v>
      </c>
      <c r="H150">
        <v>300.2</v>
      </c>
      <c r="I150" s="25">
        <v>0</v>
      </c>
      <c r="J150" t="s">
        <v>103</v>
      </c>
    </row>
    <row r="151" spans="1:10">
      <c r="A151" s="24">
        <f t="shared" si="4"/>
        <v>37151</v>
      </c>
      <c r="B151" t="s">
        <v>228</v>
      </c>
      <c r="C151" t="s">
        <v>264</v>
      </c>
      <c r="D151">
        <v>16193</v>
      </c>
      <c r="E151" s="24">
        <v>42469</v>
      </c>
      <c r="F151" t="s">
        <v>106</v>
      </c>
      <c r="G151">
        <v>29</v>
      </c>
      <c r="H151">
        <v>1364.8025</v>
      </c>
      <c r="I151" s="25">
        <v>7.0000000000000007E-2</v>
      </c>
      <c r="J151" t="s">
        <v>103</v>
      </c>
    </row>
    <row r="152" spans="1:10">
      <c r="A152" s="24">
        <f t="shared" si="4"/>
        <v>37165</v>
      </c>
      <c r="B152" t="s">
        <v>228</v>
      </c>
      <c r="C152" t="s">
        <v>265</v>
      </c>
      <c r="D152">
        <v>16423</v>
      </c>
      <c r="E152" s="24">
        <v>42587</v>
      </c>
      <c r="F152" t="s">
        <v>102</v>
      </c>
      <c r="G152">
        <v>19</v>
      </c>
      <c r="H152">
        <v>128.21</v>
      </c>
      <c r="I152" s="25">
        <v>0.05</v>
      </c>
      <c r="J152" t="s">
        <v>103</v>
      </c>
    </row>
    <row r="153" spans="1:10">
      <c r="A153" s="24">
        <f t="shared" si="4"/>
        <v>37179</v>
      </c>
      <c r="B153" t="s">
        <v>228</v>
      </c>
      <c r="C153" t="s">
        <v>266</v>
      </c>
      <c r="D153">
        <v>16451</v>
      </c>
      <c r="E153" s="24">
        <v>42207</v>
      </c>
      <c r="F153" t="s">
        <v>106</v>
      </c>
      <c r="G153">
        <v>9</v>
      </c>
      <c r="H153">
        <v>252.79</v>
      </c>
      <c r="I153" s="25">
        <v>0.09</v>
      </c>
      <c r="J153" t="s">
        <v>103</v>
      </c>
    </row>
    <row r="154" spans="1:10">
      <c r="A154" s="24">
        <f t="shared" si="4"/>
        <v>37193</v>
      </c>
      <c r="B154" t="s">
        <v>228</v>
      </c>
      <c r="C154" t="s">
        <v>267</v>
      </c>
      <c r="D154">
        <v>16545</v>
      </c>
      <c r="E154" s="24">
        <v>42499</v>
      </c>
      <c r="F154" t="s">
        <v>106</v>
      </c>
      <c r="G154">
        <v>10</v>
      </c>
      <c r="H154">
        <v>50.97</v>
      </c>
      <c r="I154" s="25">
        <v>0.09</v>
      </c>
      <c r="J154" t="s">
        <v>103</v>
      </c>
    </row>
    <row r="155" spans="1:10">
      <c r="A155" s="24">
        <f t="shared" si="4"/>
        <v>37207</v>
      </c>
      <c r="B155" t="s">
        <v>228</v>
      </c>
      <c r="C155" t="s">
        <v>268</v>
      </c>
      <c r="D155">
        <v>16545</v>
      </c>
      <c r="E155" s="24">
        <v>42499</v>
      </c>
      <c r="F155" t="s">
        <v>106</v>
      </c>
      <c r="G155">
        <v>1</v>
      </c>
      <c r="H155">
        <v>4.99</v>
      </c>
      <c r="I155" s="25">
        <v>0.04</v>
      </c>
      <c r="J155" t="s">
        <v>103</v>
      </c>
    </row>
    <row r="156" spans="1:10">
      <c r="A156" s="24">
        <f t="shared" si="4"/>
        <v>37221</v>
      </c>
      <c r="B156" t="s">
        <v>228</v>
      </c>
      <c r="C156" t="s">
        <v>269</v>
      </c>
      <c r="D156">
        <v>16547</v>
      </c>
      <c r="E156" s="24">
        <v>42053</v>
      </c>
      <c r="F156" t="s">
        <v>106</v>
      </c>
      <c r="G156">
        <v>30</v>
      </c>
      <c r="H156">
        <v>10554.63</v>
      </c>
      <c r="I156" s="25">
        <v>0.09</v>
      </c>
      <c r="J156" t="s">
        <v>109</v>
      </c>
    </row>
    <row r="157" spans="1:10">
      <c r="A157" s="24">
        <f t="shared" si="4"/>
        <v>37235</v>
      </c>
      <c r="B157" t="s">
        <v>228</v>
      </c>
      <c r="C157" t="s">
        <v>270</v>
      </c>
      <c r="D157">
        <v>16547</v>
      </c>
      <c r="E157" s="24">
        <v>42053</v>
      </c>
      <c r="F157" t="s">
        <v>106</v>
      </c>
      <c r="G157">
        <v>8</v>
      </c>
      <c r="H157">
        <v>1749.64</v>
      </c>
      <c r="I157" s="25">
        <v>0.04</v>
      </c>
      <c r="J157" t="s">
        <v>109</v>
      </c>
    </row>
    <row r="158" spans="1:10">
      <c r="A158" s="24">
        <f t="shared" si="4"/>
        <v>37249</v>
      </c>
      <c r="B158" t="s">
        <v>228</v>
      </c>
      <c r="C158" t="s">
        <v>271</v>
      </c>
      <c r="D158">
        <v>16706</v>
      </c>
      <c r="E158" s="24">
        <v>42548</v>
      </c>
      <c r="F158" t="s">
        <v>111</v>
      </c>
      <c r="G158">
        <v>47</v>
      </c>
      <c r="H158">
        <v>1943.72</v>
      </c>
      <c r="I158" s="25">
        <v>0.03</v>
      </c>
      <c r="J158" t="s">
        <v>103</v>
      </c>
    </row>
    <row r="159" spans="1:10">
      <c r="A159" s="24">
        <f t="shared" si="4"/>
        <v>37263</v>
      </c>
      <c r="B159" t="s">
        <v>228</v>
      </c>
      <c r="C159" t="s">
        <v>272</v>
      </c>
      <c r="D159">
        <v>16706</v>
      </c>
      <c r="E159" s="24">
        <v>42548</v>
      </c>
      <c r="F159" t="s">
        <v>111</v>
      </c>
      <c r="G159">
        <v>6</v>
      </c>
      <c r="H159">
        <v>18.37</v>
      </c>
      <c r="I159" s="25">
        <v>0.01</v>
      </c>
      <c r="J159" t="s">
        <v>103</v>
      </c>
    </row>
    <row r="160" spans="1:10">
      <c r="A160" s="24">
        <f t="shared" si="4"/>
        <v>37277</v>
      </c>
      <c r="B160" t="s">
        <v>228</v>
      </c>
      <c r="C160" t="s">
        <v>273</v>
      </c>
      <c r="D160">
        <v>16706</v>
      </c>
      <c r="E160" s="24">
        <v>42548</v>
      </c>
      <c r="F160" t="s">
        <v>111</v>
      </c>
      <c r="G160">
        <v>49</v>
      </c>
      <c r="H160">
        <v>6175.777</v>
      </c>
      <c r="I160" s="25">
        <v>7.0000000000000007E-2</v>
      </c>
      <c r="J160" t="s">
        <v>120</v>
      </c>
    </row>
    <row r="161" spans="1:10">
      <c r="A161" s="24">
        <f t="shared" si="4"/>
        <v>37291</v>
      </c>
      <c r="B161" t="s">
        <v>228</v>
      </c>
      <c r="C161" t="s">
        <v>274</v>
      </c>
      <c r="D161">
        <v>16741</v>
      </c>
      <c r="E161" s="24">
        <v>42643</v>
      </c>
      <c r="F161" t="s">
        <v>102</v>
      </c>
      <c r="G161">
        <v>6</v>
      </c>
      <c r="H161">
        <v>157.97</v>
      </c>
      <c r="I161" s="25">
        <v>0.01</v>
      </c>
      <c r="J161" t="s">
        <v>103</v>
      </c>
    </row>
    <row r="162" spans="1:10">
      <c r="A162" s="24">
        <f t="shared" si="4"/>
        <v>37305</v>
      </c>
      <c r="B162" t="s">
        <v>228</v>
      </c>
      <c r="C162" t="s">
        <v>275</v>
      </c>
      <c r="D162">
        <v>16932</v>
      </c>
      <c r="E162" s="24">
        <v>42475</v>
      </c>
      <c r="F162" t="s">
        <v>108</v>
      </c>
      <c r="G162">
        <v>25</v>
      </c>
      <c r="H162">
        <v>144.84</v>
      </c>
      <c r="I162" s="25">
        <v>0.09</v>
      </c>
      <c r="J162" t="s">
        <v>103</v>
      </c>
    </row>
    <row r="163" spans="1:10">
      <c r="A163" s="24">
        <f t="shared" si="4"/>
        <v>37319</v>
      </c>
      <c r="B163" t="s">
        <v>228</v>
      </c>
      <c r="C163" t="s">
        <v>276</v>
      </c>
      <c r="D163">
        <v>16932</v>
      </c>
      <c r="E163" s="24">
        <v>42475</v>
      </c>
      <c r="F163" t="s">
        <v>108</v>
      </c>
      <c r="G163">
        <v>20</v>
      </c>
      <c r="H163">
        <v>127.16</v>
      </c>
      <c r="I163" s="25">
        <v>0.09</v>
      </c>
      <c r="J163" t="s">
        <v>103</v>
      </c>
    </row>
    <row r="164" spans="1:10">
      <c r="A164" s="24">
        <f t="shared" si="4"/>
        <v>37333</v>
      </c>
      <c r="B164" t="s">
        <v>228</v>
      </c>
      <c r="C164" t="s">
        <v>277</v>
      </c>
      <c r="D164">
        <v>17283</v>
      </c>
      <c r="E164" s="24">
        <v>41896</v>
      </c>
      <c r="F164" t="s">
        <v>106</v>
      </c>
      <c r="G164">
        <v>4</v>
      </c>
      <c r="H164">
        <v>5472.12</v>
      </c>
      <c r="I164" s="25">
        <v>0.06</v>
      </c>
      <c r="J164" t="s">
        <v>109</v>
      </c>
    </row>
    <row r="165" spans="1:10">
      <c r="A165" s="24">
        <f t="shared" si="4"/>
        <v>37347</v>
      </c>
      <c r="B165" t="s">
        <v>228</v>
      </c>
      <c r="C165" t="s">
        <v>278</v>
      </c>
      <c r="D165">
        <v>17286</v>
      </c>
      <c r="E165" s="24">
        <v>42634</v>
      </c>
      <c r="F165" t="s">
        <v>111</v>
      </c>
      <c r="G165">
        <v>7</v>
      </c>
      <c r="H165">
        <v>1810.67</v>
      </c>
      <c r="I165" s="25">
        <v>0.09</v>
      </c>
      <c r="J165" t="s">
        <v>109</v>
      </c>
    </row>
    <row r="166" spans="1:10">
      <c r="A166" s="24">
        <f t="shared" si="4"/>
        <v>37361</v>
      </c>
      <c r="B166" t="s">
        <v>228</v>
      </c>
      <c r="C166" t="s">
        <v>279</v>
      </c>
      <c r="D166">
        <v>17409</v>
      </c>
      <c r="E166" s="24">
        <v>42599</v>
      </c>
      <c r="F166" t="s">
        <v>106</v>
      </c>
      <c r="G166">
        <v>31</v>
      </c>
      <c r="H166">
        <v>633.55999999999995</v>
      </c>
      <c r="I166" s="25">
        <v>0.09</v>
      </c>
      <c r="J166" t="s">
        <v>103</v>
      </c>
    </row>
    <row r="167" spans="1:10">
      <c r="A167" s="24">
        <f t="shared" si="4"/>
        <v>37375</v>
      </c>
      <c r="B167" t="s">
        <v>228</v>
      </c>
      <c r="C167" t="s">
        <v>280</v>
      </c>
      <c r="D167">
        <v>17764</v>
      </c>
      <c r="E167" s="24">
        <v>42263</v>
      </c>
      <c r="F167" t="s">
        <v>125</v>
      </c>
      <c r="G167">
        <v>27</v>
      </c>
      <c r="H167">
        <v>644.4</v>
      </c>
      <c r="I167" s="25">
        <v>0.04</v>
      </c>
      <c r="J167" t="s">
        <v>103</v>
      </c>
    </row>
    <row r="168" spans="1:10">
      <c r="A168" s="24">
        <f t="shared" si="4"/>
        <v>37389</v>
      </c>
      <c r="B168" t="s">
        <v>228</v>
      </c>
      <c r="C168" t="s">
        <v>281</v>
      </c>
      <c r="D168">
        <v>18080</v>
      </c>
      <c r="E168" s="24">
        <v>42177</v>
      </c>
      <c r="F168" t="s">
        <v>111</v>
      </c>
      <c r="G168">
        <v>7</v>
      </c>
      <c r="H168">
        <v>1211.98</v>
      </c>
      <c r="I168" s="25">
        <v>0.1</v>
      </c>
      <c r="J168" t="s">
        <v>109</v>
      </c>
    </row>
    <row r="169" spans="1:10">
      <c r="A169" s="24">
        <f t="shared" si="4"/>
        <v>37403</v>
      </c>
      <c r="B169" t="s">
        <v>228</v>
      </c>
      <c r="C169" t="s">
        <v>282</v>
      </c>
      <c r="D169">
        <v>18113</v>
      </c>
      <c r="E169" s="24">
        <v>42610</v>
      </c>
      <c r="F169" t="s">
        <v>106</v>
      </c>
      <c r="G169">
        <v>27</v>
      </c>
      <c r="H169">
        <v>3316.08</v>
      </c>
      <c r="I169" s="25">
        <v>0.08</v>
      </c>
      <c r="J169" t="s">
        <v>109</v>
      </c>
    </row>
    <row r="170" spans="1:10">
      <c r="A170" s="24">
        <f t="shared" si="4"/>
        <v>37417</v>
      </c>
      <c r="B170" t="s">
        <v>228</v>
      </c>
      <c r="C170" t="s">
        <v>283</v>
      </c>
      <c r="D170">
        <v>18144</v>
      </c>
      <c r="E170" s="24">
        <v>41797</v>
      </c>
      <c r="F170" t="s">
        <v>108</v>
      </c>
      <c r="G170">
        <v>48</v>
      </c>
      <c r="H170">
        <v>207.08</v>
      </c>
      <c r="I170" s="25">
        <v>0.09</v>
      </c>
      <c r="J170" t="s">
        <v>103</v>
      </c>
    </row>
    <row r="171" spans="1:10">
      <c r="A171" s="24">
        <f t="shared" si="4"/>
        <v>37431</v>
      </c>
      <c r="B171" t="s">
        <v>228</v>
      </c>
      <c r="C171" t="s">
        <v>284</v>
      </c>
      <c r="D171">
        <v>18144</v>
      </c>
      <c r="E171" s="24">
        <v>41797</v>
      </c>
      <c r="F171" t="s">
        <v>108</v>
      </c>
      <c r="G171">
        <v>8</v>
      </c>
      <c r="H171">
        <v>234.28</v>
      </c>
      <c r="I171" s="25">
        <v>0.09</v>
      </c>
      <c r="J171" t="s">
        <v>103</v>
      </c>
    </row>
    <row r="172" spans="1:10">
      <c r="A172" s="24">
        <f t="shared" si="4"/>
        <v>37445</v>
      </c>
      <c r="B172" t="s">
        <v>228</v>
      </c>
      <c r="C172" t="s">
        <v>285</v>
      </c>
      <c r="D172">
        <v>18144</v>
      </c>
      <c r="E172" s="24">
        <v>41797</v>
      </c>
      <c r="F172" t="s">
        <v>108</v>
      </c>
      <c r="G172">
        <v>41</v>
      </c>
      <c r="H172">
        <v>1779.8914999999997</v>
      </c>
      <c r="I172" s="25">
        <v>0.09</v>
      </c>
      <c r="J172" t="s">
        <v>103</v>
      </c>
    </row>
    <row r="173" spans="1:10">
      <c r="A173" s="24">
        <f t="shared" si="4"/>
        <v>37459</v>
      </c>
      <c r="B173" t="s">
        <v>228</v>
      </c>
      <c r="C173" t="s">
        <v>286</v>
      </c>
      <c r="D173">
        <v>18308</v>
      </c>
      <c r="E173" s="24">
        <v>42286</v>
      </c>
      <c r="F173" t="s">
        <v>106</v>
      </c>
      <c r="G173">
        <v>30</v>
      </c>
      <c r="H173">
        <v>114.12</v>
      </c>
      <c r="I173" s="25">
        <v>0.05</v>
      </c>
      <c r="J173" t="s">
        <v>103</v>
      </c>
    </row>
    <row r="174" spans="1:10">
      <c r="A174" s="24">
        <f t="shared" si="4"/>
        <v>37473</v>
      </c>
      <c r="B174" t="s">
        <v>228</v>
      </c>
      <c r="C174" t="s">
        <v>287</v>
      </c>
      <c r="D174">
        <v>18308</v>
      </c>
      <c r="E174" s="24">
        <v>42286</v>
      </c>
      <c r="F174" t="s">
        <v>106</v>
      </c>
      <c r="G174">
        <v>15</v>
      </c>
      <c r="H174">
        <v>436.05</v>
      </c>
      <c r="I174" s="25">
        <v>0.09</v>
      </c>
      <c r="J174" t="s">
        <v>103</v>
      </c>
    </row>
    <row r="175" spans="1:10">
      <c r="A175" s="24">
        <f t="shared" si="4"/>
        <v>37487</v>
      </c>
      <c r="B175" t="s">
        <v>228</v>
      </c>
      <c r="C175" t="s">
        <v>288</v>
      </c>
      <c r="D175">
        <v>18308</v>
      </c>
      <c r="E175" s="24">
        <v>42286</v>
      </c>
      <c r="F175" t="s">
        <v>106</v>
      </c>
      <c r="G175">
        <v>49</v>
      </c>
      <c r="H175">
        <v>5247.4835000000003</v>
      </c>
      <c r="I175" s="25">
        <v>0</v>
      </c>
      <c r="J175" t="s">
        <v>103</v>
      </c>
    </row>
    <row r="176" spans="1:10">
      <c r="A176" s="24">
        <f t="shared" si="4"/>
        <v>37501</v>
      </c>
      <c r="B176" t="s">
        <v>228</v>
      </c>
      <c r="C176" t="s">
        <v>289</v>
      </c>
      <c r="D176">
        <v>18887</v>
      </c>
      <c r="E176" s="24">
        <v>42709</v>
      </c>
      <c r="F176" t="s">
        <v>106</v>
      </c>
      <c r="G176">
        <v>9</v>
      </c>
      <c r="H176">
        <v>173.417</v>
      </c>
      <c r="I176" s="25">
        <v>0</v>
      </c>
      <c r="J176" t="s">
        <v>103</v>
      </c>
    </row>
    <row r="177" spans="1:10">
      <c r="A177" s="24">
        <f t="shared" si="4"/>
        <v>37515</v>
      </c>
      <c r="B177" t="s">
        <v>228</v>
      </c>
      <c r="C177" t="s">
        <v>290</v>
      </c>
      <c r="D177">
        <v>19010</v>
      </c>
      <c r="E177" s="24">
        <v>42162</v>
      </c>
      <c r="F177" t="s">
        <v>125</v>
      </c>
      <c r="G177">
        <v>18</v>
      </c>
      <c r="H177">
        <v>23792.93</v>
      </c>
      <c r="I177" s="25">
        <v>0</v>
      </c>
      <c r="J177" t="s">
        <v>103</v>
      </c>
    </row>
    <row r="178" spans="1:10">
      <c r="A178" s="24">
        <f t="shared" si="4"/>
        <v>37529</v>
      </c>
      <c r="B178" t="s">
        <v>228</v>
      </c>
      <c r="C178" t="s">
        <v>291</v>
      </c>
      <c r="D178">
        <v>19078</v>
      </c>
      <c r="E178" s="24">
        <v>42212</v>
      </c>
      <c r="F178" t="s">
        <v>108</v>
      </c>
      <c r="G178">
        <v>21</v>
      </c>
      <c r="H178">
        <v>256.12</v>
      </c>
      <c r="I178" s="25">
        <v>0.03</v>
      </c>
      <c r="J178" t="s">
        <v>103</v>
      </c>
    </row>
    <row r="179" spans="1:10">
      <c r="A179" s="24">
        <f t="shared" si="4"/>
        <v>37543</v>
      </c>
      <c r="B179" t="s">
        <v>215</v>
      </c>
      <c r="C179" t="s">
        <v>292</v>
      </c>
      <c r="D179">
        <v>19138</v>
      </c>
      <c r="E179" s="24">
        <v>41887</v>
      </c>
      <c r="F179" t="s">
        <v>125</v>
      </c>
      <c r="G179">
        <v>30</v>
      </c>
      <c r="H179">
        <v>387</v>
      </c>
      <c r="I179" s="25">
        <v>0.01</v>
      </c>
      <c r="J179" t="s">
        <v>120</v>
      </c>
    </row>
    <row r="180" spans="1:10">
      <c r="A180" s="24">
        <f t="shared" si="4"/>
        <v>37557</v>
      </c>
      <c r="B180" t="s">
        <v>215</v>
      </c>
      <c r="C180" t="s">
        <v>293</v>
      </c>
      <c r="D180">
        <v>19655</v>
      </c>
      <c r="E180" s="24">
        <v>42015</v>
      </c>
      <c r="F180" t="s">
        <v>111</v>
      </c>
      <c r="G180">
        <v>31</v>
      </c>
      <c r="H180">
        <v>1143.45</v>
      </c>
      <c r="I180" s="25">
        <v>0.06</v>
      </c>
      <c r="J180" t="s">
        <v>103</v>
      </c>
    </row>
    <row r="181" spans="1:10">
      <c r="A181" s="24">
        <f t="shared" si="4"/>
        <v>37571</v>
      </c>
      <c r="B181" t="s">
        <v>215</v>
      </c>
      <c r="C181" t="s">
        <v>294</v>
      </c>
      <c r="D181">
        <v>19686</v>
      </c>
      <c r="E181" s="24">
        <v>42597</v>
      </c>
      <c r="F181" t="s">
        <v>102</v>
      </c>
      <c r="G181">
        <v>2</v>
      </c>
      <c r="H181">
        <v>42.31</v>
      </c>
      <c r="I181" s="25">
        <v>0.06</v>
      </c>
      <c r="J181" t="s">
        <v>103</v>
      </c>
    </row>
    <row r="182" spans="1:10">
      <c r="A182" s="24">
        <f t="shared" si="4"/>
        <v>37585</v>
      </c>
      <c r="B182" t="s">
        <v>215</v>
      </c>
      <c r="C182" t="s">
        <v>295</v>
      </c>
      <c r="D182">
        <v>19686</v>
      </c>
      <c r="E182" s="24">
        <v>42597</v>
      </c>
      <c r="F182" t="s">
        <v>102</v>
      </c>
      <c r="G182">
        <v>11</v>
      </c>
      <c r="H182">
        <v>152.66999999999999</v>
      </c>
      <c r="I182" s="25">
        <v>0.04</v>
      </c>
      <c r="J182" t="s">
        <v>103</v>
      </c>
    </row>
    <row r="183" spans="1:10">
      <c r="A183" s="24">
        <f t="shared" si="4"/>
        <v>37599</v>
      </c>
      <c r="B183" t="s">
        <v>215</v>
      </c>
      <c r="C183" t="s">
        <v>296</v>
      </c>
      <c r="D183">
        <v>20007</v>
      </c>
      <c r="E183" s="24">
        <v>42221</v>
      </c>
      <c r="F183" t="s">
        <v>106</v>
      </c>
      <c r="G183">
        <v>49</v>
      </c>
      <c r="H183">
        <v>82.61</v>
      </c>
      <c r="I183" s="25">
        <v>0.08</v>
      </c>
      <c r="J183" t="s">
        <v>103</v>
      </c>
    </row>
    <row r="184" spans="1:10">
      <c r="A184" s="24">
        <f t="shared" si="4"/>
        <v>37613</v>
      </c>
      <c r="B184" t="s">
        <v>215</v>
      </c>
      <c r="C184" t="s">
        <v>297</v>
      </c>
      <c r="D184">
        <v>20071</v>
      </c>
      <c r="E184" s="24">
        <v>41899</v>
      </c>
      <c r="F184" t="s">
        <v>102</v>
      </c>
      <c r="G184">
        <v>31</v>
      </c>
      <c r="H184">
        <v>789.94</v>
      </c>
      <c r="I184" s="25">
        <v>0.1</v>
      </c>
      <c r="J184" t="s">
        <v>109</v>
      </c>
    </row>
    <row r="185" spans="1:10">
      <c r="A185" s="24">
        <f t="shared" si="4"/>
        <v>37627</v>
      </c>
      <c r="B185" t="s">
        <v>215</v>
      </c>
      <c r="C185" t="s">
        <v>298</v>
      </c>
      <c r="D185">
        <v>20160</v>
      </c>
      <c r="E185" s="24">
        <v>41934</v>
      </c>
      <c r="F185" t="s">
        <v>125</v>
      </c>
      <c r="G185">
        <v>42</v>
      </c>
      <c r="H185">
        <v>435.24</v>
      </c>
      <c r="I185" s="25">
        <v>0.08</v>
      </c>
      <c r="J185" t="s">
        <v>120</v>
      </c>
    </row>
    <row r="186" spans="1:10">
      <c r="A186" s="24">
        <f t="shared" si="4"/>
        <v>37641</v>
      </c>
      <c r="B186" t="s">
        <v>215</v>
      </c>
      <c r="C186" t="s">
        <v>299</v>
      </c>
      <c r="D186">
        <v>20263</v>
      </c>
      <c r="E186" s="24">
        <v>42322</v>
      </c>
      <c r="F186" t="s">
        <v>102</v>
      </c>
      <c r="G186">
        <v>8</v>
      </c>
      <c r="H186">
        <v>473.7</v>
      </c>
      <c r="I186" s="25">
        <v>0.05</v>
      </c>
      <c r="J186" t="s">
        <v>103</v>
      </c>
    </row>
    <row r="187" spans="1:10">
      <c r="A187" s="24">
        <f t="shared" si="4"/>
        <v>37655</v>
      </c>
      <c r="B187" t="s">
        <v>215</v>
      </c>
      <c r="C187" t="s">
        <v>300</v>
      </c>
      <c r="D187">
        <v>20263</v>
      </c>
      <c r="E187" s="24">
        <v>42322</v>
      </c>
      <c r="F187" t="s">
        <v>102</v>
      </c>
      <c r="G187">
        <v>33</v>
      </c>
      <c r="H187">
        <v>553.5625</v>
      </c>
      <c r="I187" s="25">
        <v>0.08</v>
      </c>
      <c r="J187" t="s">
        <v>103</v>
      </c>
    </row>
    <row r="188" spans="1:10">
      <c r="A188" s="24">
        <f t="shared" si="4"/>
        <v>37669</v>
      </c>
      <c r="B188" t="s">
        <v>215</v>
      </c>
      <c r="C188" t="s">
        <v>301</v>
      </c>
      <c r="D188">
        <v>21285</v>
      </c>
      <c r="E188" s="24">
        <v>42554</v>
      </c>
      <c r="F188" t="s">
        <v>102</v>
      </c>
      <c r="G188">
        <v>32</v>
      </c>
      <c r="H188">
        <v>54.78</v>
      </c>
      <c r="I188" s="25">
        <v>0.02</v>
      </c>
      <c r="J188" t="s">
        <v>103</v>
      </c>
    </row>
    <row r="189" spans="1:10">
      <c r="A189" s="24">
        <f t="shared" si="4"/>
        <v>37683</v>
      </c>
      <c r="B189" t="s">
        <v>215</v>
      </c>
      <c r="C189" t="s">
        <v>302</v>
      </c>
      <c r="D189">
        <v>21285</v>
      </c>
      <c r="E189" s="24">
        <v>42554</v>
      </c>
      <c r="F189" t="s">
        <v>102</v>
      </c>
      <c r="G189">
        <v>47</v>
      </c>
      <c r="H189">
        <v>304.83</v>
      </c>
      <c r="I189" s="25">
        <v>0.1</v>
      </c>
      <c r="J189" t="s">
        <v>103</v>
      </c>
    </row>
    <row r="190" spans="1:10">
      <c r="A190" s="24">
        <f t="shared" si="4"/>
        <v>37697</v>
      </c>
      <c r="B190" t="s">
        <v>215</v>
      </c>
      <c r="C190" t="s">
        <v>303</v>
      </c>
      <c r="D190">
        <v>21383</v>
      </c>
      <c r="E190" s="24">
        <v>42034</v>
      </c>
      <c r="F190" t="s">
        <v>125</v>
      </c>
      <c r="G190">
        <v>31</v>
      </c>
      <c r="H190">
        <v>16066.85</v>
      </c>
      <c r="I190" s="25">
        <v>7.0000000000000007E-2</v>
      </c>
      <c r="J190" t="s">
        <v>103</v>
      </c>
    </row>
    <row r="191" spans="1:10">
      <c r="A191" s="24">
        <f t="shared" si="4"/>
        <v>37711</v>
      </c>
      <c r="B191" t="s">
        <v>215</v>
      </c>
      <c r="C191" t="s">
        <v>304</v>
      </c>
      <c r="D191">
        <v>21607</v>
      </c>
      <c r="E191" s="24">
        <v>42444</v>
      </c>
      <c r="F191" t="s">
        <v>106</v>
      </c>
      <c r="G191">
        <v>17</v>
      </c>
      <c r="H191">
        <v>618.9</v>
      </c>
      <c r="I191" s="25">
        <v>0.09</v>
      </c>
      <c r="J191" t="s">
        <v>103</v>
      </c>
    </row>
    <row r="192" spans="1:10">
      <c r="A192" s="24">
        <f t="shared" si="4"/>
        <v>37725</v>
      </c>
      <c r="B192" t="s">
        <v>215</v>
      </c>
      <c r="C192" t="s">
        <v>305</v>
      </c>
      <c r="D192">
        <v>21636</v>
      </c>
      <c r="E192" s="24">
        <v>42226</v>
      </c>
      <c r="F192" t="s">
        <v>125</v>
      </c>
      <c r="G192">
        <v>35</v>
      </c>
      <c r="H192">
        <v>1665.0394999999999</v>
      </c>
      <c r="I192" s="25">
        <v>0.02</v>
      </c>
      <c r="J192" t="s">
        <v>103</v>
      </c>
    </row>
    <row r="193" spans="1:10">
      <c r="A193" s="24">
        <f t="shared" si="4"/>
        <v>37739</v>
      </c>
      <c r="B193" t="s">
        <v>215</v>
      </c>
      <c r="C193" t="s">
        <v>306</v>
      </c>
      <c r="D193">
        <v>21889</v>
      </c>
      <c r="E193" s="24">
        <v>42461</v>
      </c>
      <c r="F193" t="s">
        <v>125</v>
      </c>
      <c r="G193">
        <v>21</v>
      </c>
      <c r="H193">
        <v>1049.79</v>
      </c>
      <c r="I193" s="25">
        <v>0.08</v>
      </c>
      <c r="J193" t="s">
        <v>103</v>
      </c>
    </row>
    <row r="194" spans="1:10">
      <c r="A194" s="24">
        <f t="shared" si="4"/>
        <v>37753</v>
      </c>
      <c r="B194" t="s">
        <v>215</v>
      </c>
      <c r="C194" t="s">
        <v>307</v>
      </c>
      <c r="D194">
        <v>21889</v>
      </c>
      <c r="E194" s="24">
        <v>42461</v>
      </c>
      <c r="F194" t="s">
        <v>125</v>
      </c>
      <c r="G194">
        <v>16</v>
      </c>
      <c r="H194">
        <v>817.18</v>
      </c>
      <c r="I194" s="25">
        <v>0.1</v>
      </c>
      <c r="J194" t="s">
        <v>103</v>
      </c>
    </row>
    <row r="195" spans="1:10">
      <c r="A195" s="24">
        <f t="shared" si="4"/>
        <v>37767</v>
      </c>
      <c r="B195" t="s">
        <v>215</v>
      </c>
      <c r="C195" t="s">
        <v>308</v>
      </c>
      <c r="D195">
        <v>22151</v>
      </c>
      <c r="E195" s="24">
        <v>42582</v>
      </c>
      <c r="F195" t="s">
        <v>111</v>
      </c>
      <c r="G195">
        <v>49</v>
      </c>
      <c r="H195">
        <v>465.83</v>
      </c>
      <c r="I195" s="25">
        <v>0.1</v>
      </c>
      <c r="J195" t="s">
        <v>103</v>
      </c>
    </row>
    <row r="196" spans="1:10">
      <c r="A196" s="24">
        <f t="shared" ref="A196:A259" si="5">EDATE(A195, 0) + 14</f>
        <v>37781</v>
      </c>
      <c r="B196" t="s">
        <v>215</v>
      </c>
      <c r="C196" t="s">
        <v>309</v>
      </c>
      <c r="D196">
        <v>22342</v>
      </c>
      <c r="E196" s="24">
        <v>42153</v>
      </c>
      <c r="F196" t="s">
        <v>125</v>
      </c>
      <c r="G196">
        <v>13</v>
      </c>
      <c r="H196">
        <v>241.70600000000002</v>
      </c>
      <c r="I196" s="25">
        <v>0</v>
      </c>
      <c r="J196" t="s">
        <v>103</v>
      </c>
    </row>
    <row r="197" spans="1:10">
      <c r="A197" s="24">
        <f t="shared" si="5"/>
        <v>37795</v>
      </c>
      <c r="B197" t="s">
        <v>215</v>
      </c>
      <c r="C197" t="s">
        <v>310</v>
      </c>
      <c r="D197">
        <v>22469</v>
      </c>
      <c r="E197" s="24">
        <v>42654</v>
      </c>
      <c r="F197" t="s">
        <v>111</v>
      </c>
      <c r="G197">
        <v>44</v>
      </c>
      <c r="H197">
        <v>275.91000000000003</v>
      </c>
      <c r="I197" s="25">
        <v>0.1</v>
      </c>
      <c r="J197" t="s">
        <v>103</v>
      </c>
    </row>
    <row r="198" spans="1:10">
      <c r="A198" s="24">
        <f t="shared" si="5"/>
        <v>37809</v>
      </c>
      <c r="B198" t="s">
        <v>215</v>
      </c>
      <c r="C198" t="s">
        <v>311</v>
      </c>
      <c r="D198">
        <v>22501</v>
      </c>
      <c r="E198" s="24">
        <v>42508</v>
      </c>
      <c r="F198" t="s">
        <v>111</v>
      </c>
      <c r="G198">
        <v>2</v>
      </c>
      <c r="H198">
        <v>30.83</v>
      </c>
      <c r="I198" s="25">
        <v>0.04</v>
      </c>
      <c r="J198" t="s">
        <v>120</v>
      </c>
    </row>
    <row r="199" spans="1:10">
      <c r="A199" s="24">
        <f t="shared" si="5"/>
        <v>37823</v>
      </c>
      <c r="B199" t="s">
        <v>215</v>
      </c>
      <c r="C199" t="s">
        <v>312</v>
      </c>
      <c r="D199">
        <v>22532</v>
      </c>
      <c r="E199" s="24">
        <v>41678</v>
      </c>
      <c r="F199" t="s">
        <v>108</v>
      </c>
      <c r="G199">
        <v>13</v>
      </c>
      <c r="H199">
        <v>121.66</v>
      </c>
      <c r="I199" s="25">
        <v>0.03</v>
      </c>
      <c r="J199" t="s">
        <v>103</v>
      </c>
    </row>
    <row r="200" spans="1:10">
      <c r="A200" s="24">
        <f t="shared" si="5"/>
        <v>37837</v>
      </c>
      <c r="B200" t="s">
        <v>215</v>
      </c>
      <c r="C200" t="s">
        <v>313</v>
      </c>
      <c r="D200">
        <v>23264</v>
      </c>
      <c r="E200" s="24">
        <v>42711</v>
      </c>
      <c r="F200" t="s">
        <v>108</v>
      </c>
      <c r="G200">
        <v>16</v>
      </c>
      <c r="H200">
        <v>108.42</v>
      </c>
      <c r="I200" s="25">
        <v>0.02</v>
      </c>
      <c r="J200" t="s">
        <v>103</v>
      </c>
    </row>
    <row r="201" spans="1:10">
      <c r="A201" s="24">
        <f t="shared" si="5"/>
        <v>37851</v>
      </c>
      <c r="B201" t="s">
        <v>215</v>
      </c>
      <c r="C201" t="s">
        <v>314</v>
      </c>
      <c r="D201">
        <v>23264</v>
      </c>
      <c r="E201" s="24">
        <v>42711</v>
      </c>
      <c r="F201" t="s">
        <v>108</v>
      </c>
      <c r="G201">
        <v>27</v>
      </c>
      <c r="H201">
        <v>78.47</v>
      </c>
      <c r="I201" s="25">
        <v>0.06</v>
      </c>
      <c r="J201" t="s">
        <v>103</v>
      </c>
    </row>
    <row r="202" spans="1:10">
      <c r="A202" s="24">
        <f t="shared" si="5"/>
        <v>37865</v>
      </c>
      <c r="B202" t="s">
        <v>215</v>
      </c>
      <c r="C202" t="s">
        <v>315</v>
      </c>
      <c r="D202">
        <v>23488</v>
      </c>
      <c r="E202" s="24">
        <v>42010</v>
      </c>
      <c r="F202" t="s">
        <v>108</v>
      </c>
      <c r="G202">
        <v>30</v>
      </c>
      <c r="H202">
        <v>26133.39</v>
      </c>
      <c r="I202" s="25">
        <v>0.04</v>
      </c>
      <c r="J202" t="s">
        <v>109</v>
      </c>
    </row>
    <row r="203" spans="1:10">
      <c r="A203" s="24">
        <f t="shared" si="5"/>
        <v>37879</v>
      </c>
      <c r="B203" t="s">
        <v>215</v>
      </c>
      <c r="C203" t="s">
        <v>316</v>
      </c>
      <c r="D203">
        <v>23584</v>
      </c>
      <c r="E203" s="24">
        <v>42441</v>
      </c>
      <c r="F203" t="s">
        <v>108</v>
      </c>
      <c r="G203">
        <v>14</v>
      </c>
      <c r="H203">
        <v>2671.21</v>
      </c>
      <c r="I203" s="25">
        <v>0.06</v>
      </c>
      <c r="J203" t="s">
        <v>109</v>
      </c>
    </row>
    <row r="204" spans="1:10">
      <c r="A204" s="24">
        <f t="shared" si="5"/>
        <v>37893</v>
      </c>
      <c r="B204" t="s">
        <v>215</v>
      </c>
      <c r="C204" t="s">
        <v>317</v>
      </c>
      <c r="D204">
        <v>24007</v>
      </c>
      <c r="E204" s="24">
        <v>42608</v>
      </c>
      <c r="F204" t="s">
        <v>125</v>
      </c>
      <c r="G204">
        <v>26</v>
      </c>
      <c r="H204">
        <v>531.66</v>
      </c>
      <c r="I204" s="25">
        <v>0.08</v>
      </c>
      <c r="J204" t="s">
        <v>103</v>
      </c>
    </row>
    <row r="205" spans="1:10">
      <c r="A205" s="24">
        <f t="shared" si="5"/>
        <v>37907</v>
      </c>
      <c r="B205" t="s">
        <v>215</v>
      </c>
      <c r="C205" t="s">
        <v>318</v>
      </c>
      <c r="D205">
        <v>24007</v>
      </c>
      <c r="E205" s="24">
        <v>42608</v>
      </c>
      <c r="F205" t="s">
        <v>125</v>
      </c>
      <c r="G205">
        <v>28</v>
      </c>
      <c r="H205">
        <v>317.85000000000002</v>
      </c>
      <c r="I205" s="25">
        <v>0.06</v>
      </c>
      <c r="J205" t="s">
        <v>103</v>
      </c>
    </row>
    <row r="206" spans="1:10">
      <c r="A206" s="24">
        <f t="shared" si="5"/>
        <v>37921</v>
      </c>
      <c r="B206" t="s">
        <v>215</v>
      </c>
      <c r="C206" t="s">
        <v>319</v>
      </c>
      <c r="D206">
        <v>24007</v>
      </c>
      <c r="E206" s="24">
        <v>42608</v>
      </c>
      <c r="F206" t="s">
        <v>125</v>
      </c>
      <c r="G206">
        <v>42</v>
      </c>
      <c r="H206">
        <v>163.08000000000001</v>
      </c>
      <c r="I206" s="25">
        <v>0.09</v>
      </c>
      <c r="J206" t="s">
        <v>103</v>
      </c>
    </row>
    <row r="207" spans="1:10">
      <c r="A207" s="24">
        <f t="shared" si="5"/>
        <v>37935</v>
      </c>
      <c r="B207" t="s">
        <v>215</v>
      </c>
      <c r="C207" t="s">
        <v>320</v>
      </c>
      <c r="D207">
        <v>24038</v>
      </c>
      <c r="E207" s="24">
        <v>41810</v>
      </c>
      <c r="F207" t="s">
        <v>111</v>
      </c>
      <c r="G207">
        <v>38</v>
      </c>
      <c r="H207">
        <v>103.07</v>
      </c>
      <c r="I207" s="25">
        <v>0.1</v>
      </c>
      <c r="J207" t="s">
        <v>103</v>
      </c>
    </row>
    <row r="208" spans="1:10">
      <c r="A208" s="24">
        <f t="shared" si="5"/>
        <v>37949</v>
      </c>
      <c r="B208" t="s">
        <v>215</v>
      </c>
      <c r="C208" t="s">
        <v>321</v>
      </c>
      <c r="D208">
        <v>24097</v>
      </c>
      <c r="E208" s="24">
        <v>42586</v>
      </c>
      <c r="F208" t="s">
        <v>111</v>
      </c>
      <c r="G208">
        <v>1</v>
      </c>
      <c r="H208">
        <v>17.190000000000001</v>
      </c>
      <c r="I208" s="25">
        <v>0</v>
      </c>
      <c r="J208" t="s">
        <v>103</v>
      </c>
    </row>
    <row r="209" spans="1:10">
      <c r="A209" s="24">
        <f t="shared" si="5"/>
        <v>37963</v>
      </c>
      <c r="B209" t="s">
        <v>215</v>
      </c>
      <c r="C209" t="s">
        <v>322</v>
      </c>
      <c r="D209">
        <v>24097</v>
      </c>
      <c r="E209" s="24">
        <v>42586</v>
      </c>
      <c r="F209" t="s">
        <v>111</v>
      </c>
      <c r="G209">
        <v>27</v>
      </c>
      <c r="H209">
        <v>2689.48</v>
      </c>
      <c r="I209" s="25">
        <v>0.04</v>
      </c>
      <c r="J209" t="s">
        <v>103</v>
      </c>
    </row>
    <row r="210" spans="1:10">
      <c r="A210" s="24">
        <f t="shared" si="5"/>
        <v>37977</v>
      </c>
      <c r="B210" t="s">
        <v>215</v>
      </c>
      <c r="C210" t="s">
        <v>323</v>
      </c>
      <c r="D210">
        <v>24097</v>
      </c>
      <c r="E210" s="24">
        <v>42586</v>
      </c>
      <c r="F210" t="s">
        <v>111</v>
      </c>
      <c r="G210">
        <v>2</v>
      </c>
      <c r="H210">
        <v>15.31</v>
      </c>
      <c r="I210" s="25">
        <v>0.01</v>
      </c>
      <c r="J210" t="s">
        <v>103</v>
      </c>
    </row>
    <row r="211" spans="1:10">
      <c r="A211" s="24">
        <f t="shared" si="5"/>
        <v>37991</v>
      </c>
      <c r="B211" t="s">
        <v>215</v>
      </c>
      <c r="C211" t="s">
        <v>324</v>
      </c>
      <c r="D211">
        <v>24128</v>
      </c>
      <c r="E211" s="24">
        <v>42697</v>
      </c>
      <c r="F211" t="s">
        <v>111</v>
      </c>
      <c r="G211">
        <v>13</v>
      </c>
      <c r="H211">
        <v>270.63</v>
      </c>
      <c r="I211" s="25">
        <v>0.1</v>
      </c>
      <c r="J211" t="s">
        <v>103</v>
      </c>
    </row>
    <row r="212" spans="1:10">
      <c r="A212" s="24">
        <f t="shared" si="5"/>
        <v>38005</v>
      </c>
      <c r="B212" t="s">
        <v>215</v>
      </c>
      <c r="C212" t="s">
        <v>325</v>
      </c>
      <c r="D212">
        <v>24128</v>
      </c>
      <c r="E212" s="24">
        <v>42697</v>
      </c>
      <c r="F212" t="s">
        <v>111</v>
      </c>
      <c r="G212">
        <v>43</v>
      </c>
      <c r="H212">
        <v>6583.9129999999996</v>
      </c>
      <c r="I212" s="25">
        <v>0.09</v>
      </c>
      <c r="J212" t="s">
        <v>103</v>
      </c>
    </row>
    <row r="213" spans="1:10">
      <c r="A213" s="24">
        <f t="shared" si="5"/>
        <v>38019</v>
      </c>
      <c r="B213" t="s">
        <v>215</v>
      </c>
      <c r="C213" t="s">
        <v>326</v>
      </c>
      <c r="D213">
        <v>24294</v>
      </c>
      <c r="E213" s="24">
        <v>42218</v>
      </c>
      <c r="F213" t="s">
        <v>106</v>
      </c>
      <c r="G213">
        <v>24</v>
      </c>
      <c r="H213">
        <v>4865.72</v>
      </c>
      <c r="I213" s="25">
        <v>0.03</v>
      </c>
      <c r="J213" t="s">
        <v>109</v>
      </c>
    </row>
    <row r="214" spans="1:10">
      <c r="A214" s="24">
        <f t="shared" si="5"/>
        <v>38033</v>
      </c>
      <c r="B214" t="s">
        <v>215</v>
      </c>
      <c r="C214" t="s">
        <v>327</v>
      </c>
      <c r="D214">
        <v>24387</v>
      </c>
      <c r="E214" s="24">
        <v>41861</v>
      </c>
      <c r="F214" t="s">
        <v>108</v>
      </c>
      <c r="G214">
        <v>23</v>
      </c>
      <c r="H214">
        <v>1003.31</v>
      </c>
      <c r="I214" s="25">
        <v>0.01</v>
      </c>
      <c r="J214" t="s">
        <v>103</v>
      </c>
    </row>
    <row r="215" spans="1:10">
      <c r="A215" s="24">
        <f t="shared" si="5"/>
        <v>38047</v>
      </c>
      <c r="B215" t="s">
        <v>215</v>
      </c>
      <c r="C215" t="s">
        <v>328</v>
      </c>
      <c r="D215">
        <v>24387</v>
      </c>
      <c r="E215" s="24">
        <v>41861</v>
      </c>
      <c r="F215" t="s">
        <v>108</v>
      </c>
      <c r="G215">
        <v>17</v>
      </c>
      <c r="H215">
        <v>6048.18</v>
      </c>
      <c r="I215" s="25">
        <v>0.04</v>
      </c>
      <c r="J215" t="s">
        <v>109</v>
      </c>
    </row>
    <row r="216" spans="1:10">
      <c r="A216" s="24">
        <f t="shared" si="5"/>
        <v>38061</v>
      </c>
      <c r="B216" t="s">
        <v>215</v>
      </c>
      <c r="C216" t="s">
        <v>329</v>
      </c>
      <c r="D216">
        <v>24515</v>
      </c>
      <c r="E216" s="24">
        <v>42496</v>
      </c>
      <c r="F216" t="s">
        <v>108</v>
      </c>
      <c r="G216">
        <v>41</v>
      </c>
      <c r="H216">
        <v>3051.27</v>
      </c>
      <c r="I216" s="25">
        <v>0.1</v>
      </c>
      <c r="J216" t="s">
        <v>109</v>
      </c>
    </row>
    <row r="217" spans="1:10">
      <c r="A217" s="24">
        <f t="shared" si="5"/>
        <v>38075</v>
      </c>
      <c r="B217" t="s">
        <v>215</v>
      </c>
      <c r="C217" t="s">
        <v>330</v>
      </c>
      <c r="D217">
        <v>24743</v>
      </c>
      <c r="E217" s="24">
        <v>42549</v>
      </c>
      <c r="F217" t="s">
        <v>125</v>
      </c>
      <c r="G217">
        <v>47</v>
      </c>
      <c r="H217">
        <v>9633.59</v>
      </c>
      <c r="I217" s="25">
        <v>0.06</v>
      </c>
      <c r="J217" t="s">
        <v>109</v>
      </c>
    </row>
    <row r="218" spans="1:10">
      <c r="A218" s="24">
        <f t="shared" si="5"/>
        <v>38089</v>
      </c>
      <c r="B218" t="s">
        <v>215</v>
      </c>
      <c r="C218" t="s">
        <v>331</v>
      </c>
      <c r="D218">
        <v>24743</v>
      </c>
      <c r="E218" s="24">
        <v>42549</v>
      </c>
      <c r="F218" t="s">
        <v>125</v>
      </c>
      <c r="G218">
        <v>26</v>
      </c>
      <c r="H218">
        <v>3758.77</v>
      </c>
      <c r="I218" s="25">
        <v>0</v>
      </c>
      <c r="J218" t="s">
        <v>103</v>
      </c>
    </row>
    <row r="219" spans="1:10">
      <c r="A219" s="24">
        <f t="shared" si="5"/>
        <v>38103</v>
      </c>
      <c r="B219" t="s">
        <v>215</v>
      </c>
      <c r="C219" t="s">
        <v>332</v>
      </c>
      <c r="D219">
        <v>24871</v>
      </c>
      <c r="E219" s="24">
        <v>41721</v>
      </c>
      <c r="F219" t="s">
        <v>102</v>
      </c>
      <c r="G219">
        <v>6</v>
      </c>
      <c r="H219">
        <v>143.78</v>
      </c>
      <c r="I219" s="25">
        <v>0.04</v>
      </c>
      <c r="J219" t="s">
        <v>103</v>
      </c>
    </row>
    <row r="220" spans="1:10">
      <c r="A220" s="24">
        <f t="shared" si="5"/>
        <v>38117</v>
      </c>
      <c r="B220" t="s">
        <v>215</v>
      </c>
      <c r="C220" t="s">
        <v>333</v>
      </c>
      <c r="D220">
        <v>25318</v>
      </c>
      <c r="E220" s="24">
        <v>41962</v>
      </c>
      <c r="F220" t="s">
        <v>108</v>
      </c>
      <c r="G220">
        <v>22</v>
      </c>
      <c r="H220">
        <v>440.92</v>
      </c>
      <c r="I220" s="25">
        <v>0.05</v>
      </c>
      <c r="J220" t="s">
        <v>120</v>
      </c>
    </row>
    <row r="221" spans="1:10">
      <c r="A221" s="24">
        <f t="shared" si="5"/>
        <v>38131</v>
      </c>
      <c r="B221" t="s">
        <v>215</v>
      </c>
      <c r="C221" t="s">
        <v>334</v>
      </c>
      <c r="D221">
        <v>25377</v>
      </c>
      <c r="E221" s="24">
        <v>42700</v>
      </c>
      <c r="F221" t="s">
        <v>125</v>
      </c>
      <c r="G221">
        <v>3</v>
      </c>
      <c r="H221">
        <v>4343.51</v>
      </c>
      <c r="I221" s="25">
        <v>0.09</v>
      </c>
      <c r="J221" t="s">
        <v>109</v>
      </c>
    </row>
    <row r="222" spans="1:10">
      <c r="A222" s="24">
        <f t="shared" si="5"/>
        <v>38145</v>
      </c>
      <c r="B222" t="s">
        <v>215</v>
      </c>
      <c r="C222" t="s">
        <v>335</v>
      </c>
      <c r="D222">
        <v>25634</v>
      </c>
      <c r="E222" s="24">
        <v>42580</v>
      </c>
      <c r="F222" t="s">
        <v>106</v>
      </c>
      <c r="G222">
        <v>29</v>
      </c>
      <c r="H222">
        <v>593.32000000000005</v>
      </c>
      <c r="I222" s="25">
        <v>0.03</v>
      </c>
      <c r="J222" t="s">
        <v>103</v>
      </c>
    </row>
    <row r="223" spans="1:10">
      <c r="A223" s="24">
        <f t="shared" si="5"/>
        <v>38159</v>
      </c>
      <c r="B223" t="s">
        <v>215</v>
      </c>
      <c r="C223" t="s">
        <v>336</v>
      </c>
      <c r="D223">
        <v>25634</v>
      </c>
      <c r="E223" s="24">
        <v>42580</v>
      </c>
      <c r="F223" t="s">
        <v>106</v>
      </c>
      <c r="G223">
        <v>26</v>
      </c>
      <c r="H223">
        <v>626.07000000000005</v>
      </c>
      <c r="I223" s="25">
        <v>0.03</v>
      </c>
      <c r="J223" t="s">
        <v>120</v>
      </c>
    </row>
    <row r="224" spans="1:10">
      <c r="A224" s="24">
        <f t="shared" si="5"/>
        <v>38173</v>
      </c>
      <c r="B224" t="s">
        <v>215</v>
      </c>
      <c r="C224" t="s">
        <v>337</v>
      </c>
      <c r="D224">
        <v>25733</v>
      </c>
      <c r="E224" s="24">
        <v>42502</v>
      </c>
      <c r="F224" t="s">
        <v>125</v>
      </c>
      <c r="G224">
        <v>24</v>
      </c>
      <c r="H224">
        <v>557.23</v>
      </c>
      <c r="I224" s="25">
        <v>0.09</v>
      </c>
      <c r="J224" t="s">
        <v>103</v>
      </c>
    </row>
    <row r="225" spans="1:10">
      <c r="A225" s="24">
        <f t="shared" si="5"/>
        <v>38187</v>
      </c>
      <c r="B225" t="s">
        <v>215</v>
      </c>
      <c r="C225" t="s">
        <v>338</v>
      </c>
      <c r="D225">
        <v>25767</v>
      </c>
      <c r="E225" s="24">
        <v>42432</v>
      </c>
      <c r="F225" t="s">
        <v>111</v>
      </c>
      <c r="G225">
        <v>7</v>
      </c>
      <c r="H225">
        <v>261.88</v>
      </c>
      <c r="I225" s="25">
        <v>0.08</v>
      </c>
      <c r="J225" t="s">
        <v>103</v>
      </c>
    </row>
    <row r="226" spans="1:10">
      <c r="A226" s="24">
        <f t="shared" si="5"/>
        <v>38201</v>
      </c>
      <c r="B226" t="s">
        <v>215</v>
      </c>
      <c r="C226" t="s">
        <v>339</v>
      </c>
      <c r="D226">
        <v>25767</v>
      </c>
      <c r="E226" s="24">
        <v>42432</v>
      </c>
      <c r="F226" t="s">
        <v>111</v>
      </c>
      <c r="G226">
        <v>15</v>
      </c>
      <c r="H226">
        <v>593.73</v>
      </c>
      <c r="I226" s="25">
        <v>0.04</v>
      </c>
      <c r="J226" t="s">
        <v>103</v>
      </c>
    </row>
    <row r="227" spans="1:10">
      <c r="A227" s="24">
        <f t="shared" si="5"/>
        <v>38215</v>
      </c>
      <c r="B227" t="s">
        <v>215</v>
      </c>
      <c r="C227" t="s">
        <v>340</v>
      </c>
      <c r="D227">
        <v>26023</v>
      </c>
      <c r="E227" s="24">
        <v>42602</v>
      </c>
      <c r="F227" t="s">
        <v>111</v>
      </c>
      <c r="G227">
        <v>49</v>
      </c>
      <c r="H227">
        <v>120.77</v>
      </c>
      <c r="I227" s="25">
        <v>0.03</v>
      </c>
      <c r="J227" t="s">
        <v>103</v>
      </c>
    </row>
    <row r="228" spans="1:10">
      <c r="A228" s="24">
        <f t="shared" si="5"/>
        <v>38229</v>
      </c>
      <c r="B228" t="s">
        <v>215</v>
      </c>
      <c r="C228" t="s">
        <v>341</v>
      </c>
      <c r="D228">
        <v>26051</v>
      </c>
      <c r="E228" s="24">
        <v>42548</v>
      </c>
      <c r="F228" t="s">
        <v>106</v>
      </c>
      <c r="G228">
        <v>22</v>
      </c>
      <c r="H228">
        <v>795.74</v>
      </c>
      <c r="I228" s="25">
        <v>0</v>
      </c>
      <c r="J228" t="s">
        <v>109</v>
      </c>
    </row>
    <row r="229" spans="1:10">
      <c r="A229" s="24">
        <f t="shared" si="5"/>
        <v>38243</v>
      </c>
      <c r="B229" t="s">
        <v>215</v>
      </c>
      <c r="C229" t="s">
        <v>342</v>
      </c>
      <c r="D229">
        <v>26051</v>
      </c>
      <c r="E229" s="24">
        <v>42548</v>
      </c>
      <c r="F229" t="s">
        <v>106</v>
      </c>
      <c r="G229">
        <v>31</v>
      </c>
      <c r="H229">
        <v>251.75</v>
      </c>
      <c r="I229" s="25">
        <v>7.0000000000000007E-2</v>
      </c>
      <c r="J229" t="s">
        <v>103</v>
      </c>
    </row>
    <row r="230" spans="1:10">
      <c r="A230" s="24">
        <f t="shared" si="5"/>
        <v>38257</v>
      </c>
      <c r="B230" t="s">
        <v>215</v>
      </c>
      <c r="C230" t="s">
        <v>343</v>
      </c>
      <c r="D230">
        <v>26116</v>
      </c>
      <c r="E230" s="24">
        <v>42672</v>
      </c>
      <c r="F230" t="s">
        <v>108</v>
      </c>
      <c r="G230">
        <v>36</v>
      </c>
      <c r="H230">
        <v>697.41</v>
      </c>
      <c r="I230" s="25">
        <v>0.04</v>
      </c>
      <c r="J230" t="s">
        <v>103</v>
      </c>
    </row>
    <row r="231" spans="1:10">
      <c r="A231" s="24">
        <f t="shared" si="5"/>
        <v>38271</v>
      </c>
      <c r="B231" t="s">
        <v>344</v>
      </c>
      <c r="C231" t="s">
        <v>345</v>
      </c>
      <c r="D231">
        <v>26182</v>
      </c>
      <c r="E231" s="24">
        <v>42385</v>
      </c>
      <c r="F231" t="s">
        <v>106</v>
      </c>
      <c r="G231">
        <v>30</v>
      </c>
      <c r="H231">
        <v>4684.8999999999996</v>
      </c>
      <c r="I231" s="25">
        <v>0.01</v>
      </c>
      <c r="J231" t="s">
        <v>109</v>
      </c>
    </row>
    <row r="232" spans="1:10">
      <c r="A232" s="24">
        <f t="shared" si="5"/>
        <v>38285</v>
      </c>
      <c r="B232" t="s">
        <v>344</v>
      </c>
      <c r="C232" t="s">
        <v>346</v>
      </c>
      <c r="D232">
        <v>26272</v>
      </c>
      <c r="E232" s="24">
        <v>42550</v>
      </c>
      <c r="F232" t="s">
        <v>125</v>
      </c>
      <c r="G232">
        <v>6</v>
      </c>
      <c r="H232">
        <v>905.94</v>
      </c>
      <c r="I232" s="25">
        <v>0.04</v>
      </c>
      <c r="J232" t="s">
        <v>120</v>
      </c>
    </row>
    <row r="233" spans="1:10">
      <c r="A233" s="24">
        <f t="shared" si="5"/>
        <v>38299</v>
      </c>
      <c r="B233" t="s">
        <v>344</v>
      </c>
      <c r="C233" t="s">
        <v>347</v>
      </c>
      <c r="D233">
        <v>26370</v>
      </c>
      <c r="E233" s="24">
        <v>41859</v>
      </c>
      <c r="F233" t="s">
        <v>106</v>
      </c>
      <c r="G233">
        <v>12</v>
      </c>
      <c r="H233">
        <v>270.23</v>
      </c>
      <c r="I233" s="25">
        <v>0.08</v>
      </c>
      <c r="J233" t="s">
        <v>103</v>
      </c>
    </row>
    <row r="234" spans="1:10">
      <c r="A234" s="24">
        <f t="shared" si="5"/>
        <v>38313</v>
      </c>
      <c r="B234" t="s">
        <v>344</v>
      </c>
      <c r="C234" t="s">
        <v>348</v>
      </c>
      <c r="D234">
        <v>26370</v>
      </c>
      <c r="E234" s="24">
        <v>41859</v>
      </c>
      <c r="F234" t="s">
        <v>106</v>
      </c>
      <c r="G234">
        <v>20</v>
      </c>
      <c r="H234">
        <v>660.27</v>
      </c>
      <c r="I234" s="25">
        <v>0.09</v>
      </c>
      <c r="J234" t="s">
        <v>120</v>
      </c>
    </row>
    <row r="235" spans="1:10">
      <c r="A235" s="24">
        <f t="shared" si="5"/>
        <v>38327</v>
      </c>
      <c r="B235" t="s">
        <v>344</v>
      </c>
      <c r="C235" t="s">
        <v>349</v>
      </c>
      <c r="D235">
        <v>26499</v>
      </c>
      <c r="E235" s="24">
        <v>42421</v>
      </c>
      <c r="F235" t="s">
        <v>102</v>
      </c>
      <c r="G235">
        <v>11</v>
      </c>
      <c r="H235">
        <v>32.4</v>
      </c>
      <c r="I235" s="25">
        <v>0.05</v>
      </c>
      <c r="J235" t="s">
        <v>103</v>
      </c>
    </row>
    <row r="236" spans="1:10">
      <c r="A236" s="24">
        <f t="shared" si="5"/>
        <v>38341</v>
      </c>
      <c r="B236" t="s">
        <v>344</v>
      </c>
      <c r="C236" t="s">
        <v>350</v>
      </c>
      <c r="D236">
        <v>26531</v>
      </c>
      <c r="E236" s="24">
        <v>41810</v>
      </c>
      <c r="F236" t="s">
        <v>102</v>
      </c>
      <c r="G236">
        <v>26</v>
      </c>
      <c r="H236">
        <v>4688.9484999999995</v>
      </c>
      <c r="I236" s="25">
        <v>0</v>
      </c>
      <c r="J236" t="s">
        <v>103</v>
      </c>
    </row>
    <row r="237" spans="1:10">
      <c r="A237" s="24">
        <f t="shared" si="5"/>
        <v>38355</v>
      </c>
      <c r="B237" t="s">
        <v>344</v>
      </c>
      <c r="C237" t="s">
        <v>351</v>
      </c>
      <c r="D237">
        <v>26567</v>
      </c>
      <c r="E237" s="24">
        <v>42251</v>
      </c>
      <c r="F237" t="s">
        <v>108</v>
      </c>
      <c r="G237">
        <v>8</v>
      </c>
      <c r="H237">
        <v>50.7</v>
      </c>
      <c r="I237" s="25">
        <v>0.08</v>
      </c>
      <c r="J237" t="s">
        <v>103</v>
      </c>
    </row>
    <row r="238" spans="1:10">
      <c r="A238" s="24">
        <f t="shared" si="5"/>
        <v>38369</v>
      </c>
      <c r="B238" t="s">
        <v>344</v>
      </c>
      <c r="C238" t="s">
        <v>352</v>
      </c>
      <c r="D238">
        <v>26567</v>
      </c>
      <c r="E238" s="24">
        <v>42251</v>
      </c>
      <c r="F238" t="s">
        <v>108</v>
      </c>
      <c r="G238">
        <v>10</v>
      </c>
      <c r="H238">
        <v>90.06</v>
      </c>
      <c r="I238" s="25">
        <v>0.09</v>
      </c>
      <c r="J238" t="s">
        <v>120</v>
      </c>
    </row>
    <row r="239" spans="1:10">
      <c r="A239" s="24">
        <f t="shared" si="5"/>
        <v>38383</v>
      </c>
      <c r="B239" t="s">
        <v>344</v>
      </c>
      <c r="C239" t="s">
        <v>353</v>
      </c>
      <c r="D239">
        <v>26567</v>
      </c>
      <c r="E239" s="24">
        <v>42251</v>
      </c>
      <c r="F239" t="s">
        <v>108</v>
      </c>
      <c r="G239">
        <v>22</v>
      </c>
      <c r="H239">
        <v>338.52</v>
      </c>
      <c r="I239" s="25">
        <v>0.21</v>
      </c>
      <c r="J239" t="s">
        <v>103</v>
      </c>
    </row>
    <row r="240" spans="1:10">
      <c r="A240" s="24">
        <f t="shared" si="5"/>
        <v>38397</v>
      </c>
      <c r="B240" t="s">
        <v>344</v>
      </c>
      <c r="C240" t="s">
        <v>354</v>
      </c>
      <c r="D240">
        <v>26567</v>
      </c>
      <c r="E240" s="24">
        <v>42251</v>
      </c>
      <c r="F240" t="s">
        <v>108</v>
      </c>
      <c r="G240">
        <v>48</v>
      </c>
      <c r="H240">
        <v>6109.817</v>
      </c>
      <c r="I240" s="25">
        <v>0.04</v>
      </c>
      <c r="J240" t="s">
        <v>103</v>
      </c>
    </row>
    <row r="241" spans="1:10">
      <c r="A241" s="24">
        <f t="shared" si="5"/>
        <v>38411</v>
      </c>
      <c r="B241" t="s">
        <v>355</v>
      </c>
      <c r="C241" t="s">
        <v>356</v>
      </c>
      <c r="D241">
        <v>26854</v>
      </c>
      <c r="E241" s="24">
        <v>42176</v>
      </c>
      <c r="F241" t="s">
        <v>106</v>
      </c>
      <c r="G241">
        <v>1</v>
      </c>
      <c r="H241">
        <v>34.11</v>
      </c>
      <c r="I241" s="25">
        <v>0.02</v>
      </c>
      <c r="J241" t="s">
        <v>103</v>
      </c>
    </row>
    <row r="242" spans="1:10">
      <c r="A242" s="24">
        <f t="shared" si="5"/>
        <v>38425</v>
      </c>
      <c r="B242" t="s">
        <v>355</v>
      </c>
      <c r="C242" t="s">
        <v>357</v>
      </c>
      <c r="D242">
        <v>27109</v>
      </c>
      <c r="E242" s="24">
        <v>42408</v>
      </c>
      <c r="F242" t="s">
        <v>108</v>
      </c>
      <c r="G242">
        <v>48</v>
      </c>
      <c r="H242">
        <v>538.22</v>
      </c>
      <c r="I242" s="25">
        <v>0.01</v>
      </c>
      <c r="J242" t="s">
        <v>103</v>
      </c>
    </row>
    <row r="243" spans="1:10">
      <c r="A243" s="24">
        <f t="shared" si="5"/>
        <v>38439</v>
      </c>
      <c r="B243" t="s">
        <v>355</v>
      </c>
      <c r="C243" t="s">
        <v>358</v>
      </c>
      <c r="D243">
        <v>27111</v>
      </c>
      <c r="E243" s="24">
        <v>42074</v>
      </c>
      <c r="F243" t="s">
        <v>111</v>
      </c>
      <c r="G243">
        <v>11</v>
      </c>
      <c r="H243">
        <v>1064.23</v>
      </c>
      <c r="I243" s="25">
        <v>0.06</v>
      </c>
      <c r="J243" t="s">
        <v>103</v>
      </c>
    </row>
    <row r="244" spans="1:10">
      <c r="A244" s="24">
        <f t="shared" si="5"/>
        <v>38453</v>
      </c>
      <c r="B244" t="s">
        <v>355</v>
      </c>
      <c r="C244" t="s">
        <v>359</v>
      </c>
      <c r="D244">
        <v>27111</v>
      </c>
      <c r="E244" s="24">
        <v>42074</v>
      </c>
      <c r="F244" t="s">
        <v>111</v>
      </c>
      <c r="G244">
        <v>18</v>
      </c>
      <c r="H244">
        <v>3497.05</v>
      </c>
      <c r="I244" s="25">
        <v>0</v>
      </c>
      <c r="J244" t="s">
        <v>103</v>
      </c>
    </row>
    <row r="245" spans="1:10">
      <c r="A245" s="24">
        <f t="shared" si="5"/>
        <v>38467</v>
      </c>
      <c r="B245" t="s">
        <v>355</v>
      </c>
      <c r="C245" t="s">
        <v>360</v>
      </c>
      <c r="D245">
        <v>27111</v>
      </c>
      <c r="E245" s="24">
        <v>42074</v>
      </c>
      <c r="F245" t="s">
        <v>111</v>
      </c>
      <c r="G245">
        <v>44</v>
      </c>
      <c r="H245">
        <v>774.05250000000001</v>
      </c>
      <c r="I245" s="25">
        <v>0.08</v>
      </c>
      <c r="J245" t="s">
        <v>120</v>
      </c>
    </row>
    <row r="246" spans="1:10">
      <c r="A246" s="24">
        <f t="shared" si="5"/>
        <v>38481</v>
      </c>
      <c r="B246" t="s">
        <v>355</v>
      </c>
      <c r="C246" t="s">
        <v>361</v>
      </c>
      <c r="D246">
        <v>27264</v>
      </c>
      <c r="E246" s="24">
        <v>41794</v>
      </c>
      <c r="F246" t="s">
        <v>125</v>
      </c>
      <c r="G246">
        <v>3</v>
      </c>
      <c r="H246">
        <v>74.05</v>
      </c>
      <c r="I246" s="25">
        <v>0.02</v>
      </c>
      <c r="J246" t="s">
        <v>103</v>
      </c>
    </row>
    <row r="247" spans="1:10">
      <c r="A247" s="24">
        <f t="shared" si="5"/>
        <v>38495</v>
      </c>
      <c r="B247" t="s">
        <v>355</v>
      </c>
      <c r="C247" t="s">
        <v>362</v>
      </c>
      <c r="D247">
        <v>27392</v>
      </c>
      <c r="E247" s="24">
        <v>42431</v>
      </c>
      <c r="F247" t="s">
        <v>125</v>
      </c>
      <c r="G247">
        <v>37</v>
      </c>
      <c r="H247">
        <v>5753.85</v>
      </c>
      <c r="I247" s="25">
        <v>0</v>
      </c>
      <c r="J247" t="s">
        <v>103</v>
      </c>
    </row>
    <row r="248" spans="1:10">
      <c r="A248" s="24">
        <f t="shared" si="5"/>
        <v>38509</v>
      </c>
      <c r="B248" t="s">
        <v>355</v>
      </c>
      <c r="C248" t="s">
        <v>363</v>
      </c>
      <c r="D248">
        <v>27553</v>
      </c>
      <c r="E248" s="24">
        <v>41863</v>
      </c>
      <c r="F248" t="s">
        <v>102</v>
      </c>
      <c r="G248">
        <v>48</v>
      </c>
      <c r="H248">
        <v>18235.47</v>
      </c>
      <c r="I248" s="25">
        <v>0.03</v>
      </c>
      <c r="J248" t="s">
        <v>109</v>
      </c>
    </row>
    <row r="249" spans="1:10">
      <c r="A249" s="24">
        <f t="shared" si="5"/>
        <v>38523</v>
      </c>
      <c r="B249" t="s">
        <v>355</v>
      </c>
      <c r="C249" t="s">
        <v>364</v>
      </c>
      <c r="D249">
        <v>27553</v>
      </c>
      <c r="E249" s="24">
        <v>41863</v>
      </c>
      <c r="F249" t="s">
        <v>102</v>
      </c>
      <c r="G249">
        <v>16</v>
      </c>
      <c r="H249">
        <v>2631.107</v>
      </c>
      <c r="I249" s="25">
        <v>0</v>
      </c>
      <c r="J249" t="s">
        <v>103</v>
      </c>
    </row>
    <row r="250" spans="1:10">
      <c r="A250" s="24">
        <f t="shared" si="5"/>
        <v>38537</v>
      </c>
      <c r="B250" t="s">
        <v>355</v>
      </c>
      <c r="C250" t="s">
        <v>365</v>
      </c>
      <c r="D250">
        <v>27555</v>
      </c>
      <c r="E250" s="24">
        <v>42248</v>
      </c>
      <c r="F250" t="s">
        <v>108</v>
      </c>
      <c r="G250">
        <v>32</v>
      </c>
      <c r="H250">
        <v>209.42</v>
      </c>
      <c r="I250" s="25">
        <v>0.1</v>
      </c>
      <c r="J250" t="s">
        <v>103</v>
      </c>
    </row>
    <row r="251" spans="1:10">
      <c r="A251" s="24">
        <f t="shared" si="5"/>
        <v>38551</v>
      </c>
      <c r="B251" t="s">
        <v>355</v>
      </c>
      <c r="C251" t="s">
        <v>366</v>
      </c>
      <c r="D251">
        <v>27680</v>
      </c>
      <c r="E251" s="24">
        <v>42395</v>
      </c>
      <c r="F251" t="s">
        <v>108</v>
      </c>
      <c r="G251">
        <v>32</v>
      </c>
      <c r="H251">
        <v>324.39999999999998</v>
      </c>
      <c r="I251" s="25">
        <v>0.1</v>
      </c>
      <c r="J251" t="s">
        <v>103</v>
      </c>
    </row>
    <row r="252" spans="1:10">
      <c r="A252" s="24">
        <f t="shared" si="5"/>
        <v>38565</v>
      </c>
      <c r="B252" t="s">
        <v>355</v>
      </c>
      <c r="C252" t="s">
        <v>367</v>
      </c>
      <c r="D252">
        <v>27680</v>
      </c>
      <c r="E252" s="24">
        <v>42395</v>
      </c>
      <c r="F252" t="s">
        <v>108</v>
      </c>
      <c r="G252">
        <v>19</v>
      </c>
      <c r="H252">
        <v>137.02000000000001</v>
      </c>
      <c r="I252" s="25">
        <v>0.01</v>
      </c>
      <c r="J252" t="s">
        <v>103</v>
      </c>
    </row>
    <row r="253" spans="1:10">
      <c r="A253" s="24">
        <f t="shared" si="5"/>
        <v>38579</v>
      </c>
      <c r="B253" t="s">
        <v>355</v>
      </c>
      <c r="C253" t="s">
        <v>368</v>
      </c>
      <c r="D253">
        <v>27778</v>
      </c>
      <c r="E253" s="24">
        <v>41884</v>
      </c>
      <c r="F253" t="s">
        <v>108</v>
      </c>
      <c r="G253">
        <v>1</v>
      </c>
      <c r="H253">
        <v>232.67</v>
      </c>
      <c r="I253" s="25">
        <v>0.02</v>
      </c>
      <c r="J253" t="s">
        <v>103</v>
      </c>
    </row>
    <row r="254" spans="1:10">
      <c r="A254" s="24">
        <f t="shared" si="5"/>
        <v>38593</v>
      </c>
      <c r="B254" t="s">
        <v>355</v>
      </c>
      <c r="C254" t="s">
        <v>369</v>
      </c>
      <c r="D254">
        <v>27778</v>
      </c>
      <c r="E254" s="24">
        <v>41884</v>
      </c>
      <c r="F254" t="s">
        <v>108</v>
      </c>
      <c r="G254">
        <v>34</v>
      </c>
      <c r="H254">
        <v>4805.92</v>
      </c>
      <c r="I254" s="25">
        <v>7.0000000000000007E-2</v>
      </c>
      <c r="J254" t="s">
        <v>109</v>
      </c>
    </row>
    <row r="255" spans="1:10">
      <c r="A255" s="24">
        <f t="shared" si="5"/>
        <v>38607</v>
      </c>
      <c r="B255" t="s">
        <v>355</v>
      </c>
      <c r="C255" t="s">
        <v>370</v>
      </c>
      <c r="D255">
        <v>27909</v>
      </c>
      <c r="E255" s="24">
        <v>42407</v>
      </c>
      <c r="F255" t="s">
        <v>108</v>
      </c>
      <c r="G255">
        <v>1</v>
      </c>
      <c r="H255">
        <v>62.26</v>
      </c>
      <c r="I255" s="25">
        <v>0.09</v>
      </c>
      <c r="J255" t="s">
        <v>103</v>
      </c>
    </row>
    <row r="256" spans="1:10">
      <c r="A256" s="24">
        <f t="shared" si="5"/>
        <v>38621</v>
      </c>
      <c r="B256" t="s">
        <v>355</v>
      </c>
      <c r="C256" t="s">
        <v>371</v>
      </c>
      <c r="D256">
        <v>27909</v>
      </c>
      <c r="E256" s="24">
        <v>42407</v>
      </c>
      <c r="F256" t="s">
        <v>108</v>
      </c>
      <c r="G256">
        <v>47</v>
      </c>
      <c r="H256">
        <v>58.53</v>
      </c>
      <c r="I256" s="25">
        <v>7.0000000000000007E-2</v>
      </c>
      <c r="J256" t="s">
        <v>103</v>
      </c>
    </row>
    <row r="257" spans="1:10">
      <c r="A257" s="24">
        <f t="shared" si="5"/>
        <v>38635</v>
      </c>
      <c r="B257" t="s">
        <v>355</v>
      </c>
      <c r="C257" t="s">
        <v>372</v>
      </c>
      <c r="D257">
        <v>28003</v>
      </c>
      <c r="E257" s="24">
        <v>41717</v>
      </c>
      <c r="F257" t="s">
        <v>108</v>
      </c>
      <c r="G257">
        <v>31</v>
      </c>
      <c r="H257">
        <v>157.79</v>
      </c>
      <c r="I257" s="25">
        <v>0.09</v>
      </c>
      <c r="J257" t="s">
        <v>103</v>
      </c>
    </row>
    <row r="258" spans="1:10">
      <c r="A258" s="24">
        <f t="shared" si="5"/>
        <v>38649</v>
      </c>
      <c r="B258" t="s">
        <v>355</v>
      </c>
      <c r="C258" t="s">
        <v>373</v>
      </c>
      <c r="D258">
        <v>28035</v>
      </c>
      <c r="E258" s="24">
        <v>41767</v>
      </c>
      <c r="F258" t="s">
        <v>106</v>
      </c>
      <c r="G258">
        <v>19</v>
      </c>
      <c r="H258">
        <v>376.21</v>
      </c>
      <c r="I258" s="25">
        <v>0.03</v>
      </c>
      <c r="J258" t="s">
        <v>103</v>
      </c>
    </row>
    <row r="259" spans="1:10">
      <c r="A259" s="24">
        <f t="shared" si="5"/>
        <v>38663</v>
      </c>
      <c r="B259" t="s">
        <v>355</v>
      </c>
      <c r="C259" t="s">
        <v>374</v>
      </c>
      <c r="D259">
        <v>28135</v>
      </c>
      <c r="E259" s="24">
        <v>42272</v>
      </c>
      <c r="F259" t="s">
        <v>108</v>
      </c>
      <c r="G259">
        <v>37</v>
      </c>
      <c r="H259">
        <v>1601.24</v>
      </c>
      <c r="I259" s="25">
        <v>0.08</v>
      </c>
      <c r="J259" t="s">
        <v>103</v>
      </c>
    </row>
    <row r="260" spans="1:10">
      <c r="A260" s="24">
        <f t="shared" ref="A260:A323" si="6">EDATE(A259, 0) + 14</f>
        <v>38677</v>
      </c>
      <c r="B260" t="s">
        <v>375</v>
      </c>
      <c r="C260" t="s">
        <v>376</v>
      </c>
      <c r="D260">
        <v>28135</v>
      </c>
      <c r="E260" s="24">
        <v>42272</v>
      </c>
      <c r="F260" t="s">
        <v>108</v>
      </c>
      <c r="G260">
        <v>40</v>
      </c>
      <c r="H260">
        <v>501.31</v>
      </c>
      <c r="I260" s="25">
        <v>0.05</v>
      </c>
      <c r="J260" t="s">
        <v>103</v>
      </c>
    </row>
    <row r="261" spans="1:10">
      <c r="A261" s="24">
        <f t="shared" si="6"/>
        <v>38691</v>
      </c>
      <c r="B261" t="s">
        <v>375</v>
      </c>
      <c r="C261" t="s">
        <v>377</v>
      </c>
      <c r="D261">
        <v>28165</v>
      </c>
      <c r="E261" s="24">
        <v>42560</v>
      </c>
      <c r="F261" t="s">
        <v>106</v>
      </c>
      <c r="G261">
        <v>2</v>
      </c>
      <c r="H261">
        <v>24.96</v>
      </c>
      <c r="I261" s="25">
        <v>0.05</v>
      </c>
      <c r="J261" t="s">
        <v>103</v>
      </c>
    </row>
    <row r="262" spans="1:10">
      <c r="A262" s="24">
        <f t="shared" si="6"/>
        <v>38705</v>
      </c>
      <c r="B262" t="s">
        <v>375</v>
      </c>
      <c r="C262" t="s">
        <v>378</v>
      </c>
      <c r="D262">
        <v>28289</v>
      </c>
      <c r="E262" s="24">
        <v>42383</v>
      </c>
      <c r="F262" t="s">
        <v>111</v>
      </c>
      <c r="G262">
        <v>31</v>
      </c>
      <c r="H262">
        <v>166.76</v>
      </c>
      <c r="I262" s="25">
        <v>0.01</v>
      </c>
      <c r="J262" t="s">
        <v>103</v>
      </c>
    </row>
    <row r="263" spans="1:10">
      <c r="A263" s="24">
        <f t="shared" si="6"/>
        <v>38719</v>
      </c>
      <c r="B263" t="s">
        <v>375</v>
      </c>
      <c r="C263" t="s">
        <v>379</v>
      </c>
      <c r="D263">
        <v>28486</v>
      </c>
      <c r="E263" s="24">
        <v>42242</v>
      </c>
      <c r="F263" t="s">
        <v>111</v>
      </c>
      <c r="G263">
        <v>2</v>
      </c>
      <c r="H263">
        <v>811.13</v>
      </c>
      <c r="I263" s="25">
        <v>0.08</v>
      </c>
      <c r="J263" t="s">
        <v>103</v>
      </c>
    </row>
    <row r="264" spans="1:10">
      <c r="A264" s="24">
        <f t="shared" si="6"/>
        <v>38733</v>
      </c>
      <c r="B264" t="s">
        <v>375</v>
      </c>
      <c r="C264" t="s">
        <v>380</v>
      </c>
      <c r="D264">
        <v>28675</v>
      </c>
      <c r="E264" s="24">
        <v>42285</v>
      </c>
      <c r="F264" t="s">
        <v>108</v>
      </c>
      <c r="G264">
        <v>15</v>
      </c>
      <c r="H264">
        <v>822.84249999999997</v>
      </c>
      <c r="I264" s="25">
        <v>0.1</v>
      </c>
      <c r="J264" t="s">
        <v>103</v>
      </c>
    </row>
    <row r="265" spans="1:10">
      <c r="A265" s="24">
        <f t="shared" si="6"/>
        <v>38747</v>
      </c>
      <c r="B265" t="s">
        <v>375</v>
      </c>
      <c r="C265" t="s">
        <v>381</v>
      </c>
      <c r="D265">
        <v>28870</v>
      </c>
      <c r="E265" s="24">
        <v>41953</v>
      </c>
      <c r="F265" t="s">
        <v>111</v>
      </c>
      <c r="G265">
        <v>35</v>
      </c>
      <c r="H265">
        <v>3310.9454999999998</v>
      </c>
      <c r="I265" s="25">
        <v>0.05</v>
      </c>
      <c r="J265" t="s">
        <v>103</v>
      </c>
    </row>
    <row r="266" spans="1:10">
      <c r="A266" s="24">
        <f t="shared" si="6"/>
        <v>38761</v>
      </c>
      <c r="B266" t="s">
        <v>375</v>
      </c>
      <c r="C266" t="s">
        <v>382</v>
      </c>
      <c r="D266">
        <v>28871</v>
      </c>
      <c r="E266" s="24">
        <v>42475</v>
      </c>
      <c r="F266" t="s">
        <v>111</v>
      </c>
      <c r="G266">
        <v>10</v>
      </c>
      <c r="H266">
        <v>55.02</v>
      </c>
      <c r="I266" s="25">
        <v>0.08</v>
      </c>
      <c r="J266" t="s">
        <v>103</v>
      </c>
    </row>
    <row r="267" spans="1:10">
      <c r="A267" s="24">
        <f t="shared" si="6"/>
        <v>38775</v>
      </c>
      <c r="B267" t="s">
        <v>375</v>
      </c>
      <c r="C267" t="s">
        <v>383</v>
      </c>
      <c r="D267">
        <v>29030</v>
      </c>
      <c r="E267" s="24">
        <v>42371</v>
      </c>
      <c r="F267" t="s">
        <v>102</v>
      </c>
      <c r="G267">
        <v>10</v>
      </c>
      <c r="H267">
        <v>192.58</v>
      </c>
      <c r="I267" s="25">
        <v>0.05</v>
      </c>
      <c r="J267" t="s">
        <v>103</v>
      </c>
    </row>
    <row r="268" spans="1:10">
      <c r="A268" s="24">
        <f t="shared" si="6"/>
        <v>38789</v>
      </c>
      <c r="B268" t="s">
        <v>375</v>
      </c>
      <c r="C268" t="s">
        <v>384</v>
      </c>
      <c r="D268">
        <v>29095</v>
      </c>
      <c r="E268" s="24">
        <v>41706</v>
      </c>
      <c r="F268" t="s">
        <v>106</v>
      </c>
      <c r="G268">
        <v>40</v>
      </c>
      <c r="H268">
        <v>291.67</v>
      </c>
      <c r="I268" s="25">
        <v>0.01</v>
      </c>
      <c r="J268" t="s">
        <v>103</v>
      </c>
    </row>
    <row r="269" spans="1:10">
      <c r="A269" s="24">
        <f t="shared" si="6"/>
        <v>38803</v>
      </c>
      <c r="B269" t="s">
        <v>375</v>
      </c>
      <c r="C269" t="s">
        <v>385</v>
      </c>
      <c r="D269">
        <v>29287</v>
      </c>
      <c r="E269" s="24">
        <v>42187</v>
      </c>
      <c r="F269" t="s">
        <v>111</v>
      </c>
      <c r="G269">
        <v>50</v>
      </c>
      <c r="H269">
        <v>281.39</v>
      </c>
      <c r="I269" s="25">
        <v>0.1</v>
      </c>
      <c r="J269" t="s">
        <v>103</v>
      </c>
    </row>
    <row r="270" spans="1:10">
      <c r="A270" s="24">
        <f t="shared" si="6"/>
        <v>38817</v>
      </c>
      <c r="B270" t="s">
        <v>375</v>
      </c>
      <c r="C270" t="s">
        <v>386</v>
      </c>
      <c r="D270">
        <v>29287</v>
      </c>
      <c r="E270" s="24">
        <v>42187</v>
      </c>
      <c r="F270" t="s">
        <v>111</v>
      </c>
      <c r="G270">
        <v>49</v>
      </c>
      <c r="H270">
        <v>12593.91</v>
      </c>
      <c r="I270" s="25">
        <v>0.09</v>
      </c>
      <c r="J270" t="s">
        <v>109</v>
      </c>
    </row>
    <row r="271" spans="1:10">
      <c r="A271" s="24">
        <f t="shared" si="6"/>
        <v>38831</v>
      </c>
      <c r="B271" t="s">
        <v>375</v>
      </c>
      <c r="C271" t="s">
        <v>387</v>
      </c>
      <c r="D271">
        <v>29510</v>
      </c>
      <c r="E271" s="24">
        <v>41744</v>
      </c>
      <c r="F271" t="s">
        <v>108</v>
      </c>
      <c r="G271">
        <v>22</v>
      </c>
      <c r="H271">
        <v>6123.94</v>
      </c>
      <c r="I271" s="25">
        <v>0.01</v>
      </c>
      <c r="J271" t="s">
        <v>109</v>
      </c>
    </row>
    <row r="272" spans="1:10">
      <c r="A272" s="24">
        <f t="shared" si="6"/>
        <v>38845</v>
      </c>
      <c r="B272" t="s">
        <v>375</v>
      </c>
      <c r="C272" t="s">
        <v>388</v>
      </c>
      <c r="D272">
        <v>29795</v>
      </c>
      <c r="E272" s="24">
        <v>41968</v>
      </c>
      <c r="F272" t="s">
        <v>111</v>
      </c>
      <c r="G272">
        <v>49</v>
      </c>
      <c r="H272">
        <v>19325.2</v>
      </c>
      <c r="I272" s="25">
        <v>0.05</v>
      </c>
      <c r="J272" t="s">
        <v>103</v>
      </c>
    </row>
    <row r="273" spans="1:10">
      <c r="A273" s="24">
        <f t="shared" si="6"/>
        <v>38859</v>
      </c>
      <c r="B273" t="s">
        <v>375</v>
      </c>
      <c r="C273" t="s">
        <v>389</v>
      </c>
      <c r="D273">
        <v>29795</v>
      </c>
      <c r="E273" s="24">
        <v>41968</v>
      </c>
      <c r="F273" t="s">
        <v>111</v>
      </c>
      <c r="G273">
        <v>48</v>
      </c>
      <c r="H273">
        <v>8380.2199999999993</v>
      </c>
      <c r="I273" s="25">
        <v>0</v>
      </c>
      <c r="J273" t="s">
        <v>109</v>
      </c>
    </row>
    <row r="274" spans="1:10">
      <c r="A274" s="24">
        <f t="shared" si="6"/>
        <v>38873</v>
      </c>
      <c r="B274" t="s">
        <v>375</v>
      </c>
      <c r="C274" t="s">
        <v>390</v>
      </c>
      <c r="D274">
        <v>29861</v>
      </c>
      <c r="E274" s="24">
        <v>42485</v>
      </c>
      <c r="F274" t="s">
        <v>108</v>
      </c>
      <c r="G274">
        <v>11</v>
      </c>
      <c r="H274">
        <v>35.17</v>
      </c>
      <c r="I274" s="25">
        <v>0.03</v>
      </c>
      <c r="J274" t="s">
        <v>103</v>
      </c>
    </row>
    <row r="275" spans="1:10">
      <c r="A275" s="24">
        <f t="shared" si="6"/>
        <v>38887</v>
      </c>
      <c r="B275" t="s">
        <v>375</v>
      </c>
      <c r="C275" t="s">
        <v>391</v>
      </c>
      <c r="D275">
        <v>30658</v>
      </c>
      <c r="E275" s="24">
        <v>41724</v>
      </c>
      <c r="F275" t="s">
        <v>102</v>
      </c>
      <c r="G275">
        <v>35</v>
      </c>
      <c r="H275">
        <v>17387.650000000001</v>
      </c>
      <c r="I275" s="25">
        <v>0.08</v>
      </c>
      <c r="J275" t="s">
        <v>103</v>
      </c>
    </row>
    <row r="276" spans="1:10">
      <c r="A276" s="24">
        <f t="shared" si="6"/>
        <v>38901</v>
      </c>
      <c r="B276" t="s">
        <v>375</v>
      </c>
      <c r="C276" t="s">
        <v>392</v>
      </c>
      <c r="D276">
        <v>30658</v>
      </c>
      <c r="E276" s="24">
        <v>41724</v>
      </c>
      <c r="F276" t="s">
        <v>102</v>
      </c>
      <c r="G276">
        <v>44</v>
      </c>
      <c r="H276">
        <v>6040.22</v>
      </c>
      <c r="I276" s="25">
        <v>0.05</v>
      </c>
      <c r="J276" t="s">
        <v>103</v>
      </c>
    </row>
    <row r="277" spans="1:10">
      <c r="A277" s="24">
        <f t="shared" si="6"/>
        <v>38915</v>
      </c>
      <c r="B277" t="s">
        <v>375</v>
      </c>
      <c r="C277" t="s">
        <v>393</v>
      </c>
      <c r="D277">
        <v>30947</v>
      </c>
      <c r="E277" s="24">
        <v>42565</v>
      </c>
      <c r="F277" t="s">
        <v>125</v>
      </c>
      <c r="G277">
        <v>17</v>
      </c>
      <c r="H277">
        <v>691.59</v>
      </c>
      <c r="I277" s="25">
        <v>0.03</v>
      </c>
      <c r="J277" t="s">
        <v>103</v>
      </c>
    </row>
    <row r="278" spans="1:10">
      <c r="A278" s="24">
        <f t="shared" si="6"/>
        <v>38929</v>
      </c>
      <c r="B278" t="s">
        <v>375</v>
      </c>
      <c r="C278" t="s">
        <v>394</v>
      </c>
      <c r="D278">
        <v>30947</v>
      </c>
      <c r="E278" s="24">
        <v>42565</v>
      </c>
      <c r="F278" t="s">
        <v>125</v>
      </c>
      <c r="G278">
        <v>45</v>
      </c>
      <c r="H278">
        <v>345.2</v>
      </c>
      <c r="I278" s="25">
        <v>0.01</v>
      </c>
      <c r="J278" t="s">
        <v>103</v>
      </c>
    </row>
    <row r="279" spans="1:10">
      <c r="A279" s="24">
        <f t="shared" si="6"/>
        <v>38943</v>
      </c>
      <c r="B279" t="s">
        <v>375</v>
      </c>
      <c r="C279" t="s">
        <v>395</v>
      </c>
      <c r="D279">
        <v>31077</v>
      </c>
      <c r="E279" s="24">
        <v>42666</v>
      </c>
      <c r="F279" t="s">
        <v>106</v>
      </c>
      <c r="G279">
        <v>36</v>
      </c>
      <c r="H279">
        <v>1955.0765000000001</v>
      </c>
      <c r="I279" s="25">
        <v>0.06</v>
      </c>
      <c r="J279" t="s">
        <v>103</v>
      </c>
    </row>
    <row r="280" spans="1:10">
      <c r="A280" s="24">
        <f t="shared" si="6"/>
        <v>38957</v>
      </c>
      <c r="B280" t="s">
        <v>375</v>
      </c>
      <c r="C280" t="s">
        <v>396</v>
      </c>
      <c r="D280">
        <v>31111</v>
      </c>
      <c r="E280" s="24">
        <v>42240</v>
      </c>
      <c r="F280" t="s">
        <v>106</v>
      </c>
      <c r="G280">
        <v>27</v>
      </c>
      <c r="H280">
        <v>217.93</v>
      </c>
      <c r="I280" s="25">
        <v>0.03</v>
      </c>
      <c r="J280" t="s">
        <v>103</v>
      </c>
    </row>
    <row r="281" spans="1:10">
      <c r="A281" s="24">
        <f t="shared" si="6"/>
        <v>38971</v>
      </c>
      <c r="B281" t="s">
        <v>375</v>
      </c>
      <c r="C281" t="s">
        <v>397</v>
      </c>
      <c r="D281">
        <v>31169</v>
      </c>
      <c r="E281" s="24">
        <v>41799</v>
      </c>
      <c r="F281" t="s">
        <v>125</v>
      </c>
      <c r="G281">
        <v>6</v>
      </c>
      <c r="H281">
        <v>254.76</v>
      </c>
      <c r="I281" s="25">
        <v>0.06</v>
      </c>
      <c r="J281" t="s">
        <v>103</v>
      </c>
    </row>
    <row r="282" spans="1:10">
      <c r="A282" s="24">
        <f t="shared" si="6"/>
        <v>38985</v>
      </c>
      <c r="B282" t="s">
        <v>398</v>
      </c>
      <c r="C282" t="s">
        <v>399</v>
      </c>
      <c r="D282">
        <v>31270</v>
      </c>
      <c r="E282" s="24">
        <v>42697</v>
      </c>
      <c r="F282" t="s">
        <v>102</v>
      </c>
      <c r="G282">
        <v>21</v>
      </c>
      <c r="H282">
        <v>6806.66</v>
      </c>
      <c r="I282" s="25">
        <v>0</v>
      </c>
      <c r="J282" t="s">
        <v>109</v>
      </c>
    </row>
    <row r="283" spans="1:10">
      <c r="A283" s="24">
        <f t="shared" si="6"/>
        <v>38999</v>
      </c>
      <c r="B283" t="s">
        <v>398</v>
      </c>
      <c r="C283" t="s">
        <v>400</v>
      </c>
      <c r="D283">
        <v>31270</v>
      </c>
      <c r="E283" s="24">
        <v>42697</v>
      </c>
      <c r="F283" t="s">
        <v>102</v>
      </c>
      <c r="G283">
        <v>3</v>
      </c>
      <c r="H283">
        <v>891.61</v>
      </c>
      <c r="I283" s="25">
        <v>0.1</v>
      </c>
      <c r="J283" t="s">
        <v>109</v>
      </c>
    </row>
    <row r="284" spans="1:10">
      <c r="A284" s="24">
        <f t="shared" si="6"/>
        <v>39013</v>
      </c>
      <c r="B284" t="s">
        <v>398</v>
      </c>
      <c r="C284" t="s">
        <v>401</v>
      </c>
      <c r="D284">
        <v>31270</v>
      </c>
      <c r="E284" s="24">
        <v>42697</v>
      </c>
      <c r="F284" t="s">
        <v>102</v>
      </c>
      <c r="G284">
        <v>5</v>
      </c>
      <c r="H284">
        <v>165.04</v>
      </c>
      <c r="I284" s="25">
        <v>0.03</v>
      </c>
      <c r="J284" t="s">
        <v>103</v>
      </c>
    </row>
    <row r="285" spans="1:10">
      <c r="A285" s="24">
        <f t="shared" si="6"/>
        <v>39027</v>
      </c>
      <c r="B285" t="s">
        <v>398</v>
      </c>
      <c r="C285" t="s">
        <v>402</v>
      </c>
      <c r="D285">
        <v>31364</v>
      </c>
      <c r="E285" s="24">
        <v>42125</v>
      </c>
      <c r="F285" t="s">
        <v>106</v>
      </c>
      <c r="G285">
        <v>2</v>
      </c>
      <c r="H285">
        <v>789.01</v>
      </c>
      <c r="I285" s="25">
        <v>7.0000000000000007E-2</v>
      </c>
      <c r="J285" t="s">
        <v>103</v>
      </c>
    </row>
    <row r="286" spans="1:10">
      <c r="A286" s="24">
        <f t="shared" si="6"/>
        <v>39041</v>
      </c>
      <c r="B286" t="s">
        <v>398</v>
      </c>
      <c r="C286" t="s">
        <v>403</v>
      </c>
      <c r="D286">
        <v>31393</v>
      </c>
      <c r="E286" s="24">
        <v>42501</v>
      </c>
      <c r="F286" t="s">
        <v>108</v>
      </c>
      <c r="G286">
        <v>4</v>
      </c>
      <c r="H286">
        <v>97.57</v>
      </c>
      <c r="I286" s="25">
        <v>0.04</v>
      </c>
      <c r="J286" t="s">
        <v>103</v>
      </c>
    </row>
    <row r="287" spans="1:10">
      <c r="A287" s="24">
        <f t="shared" si="6"/>
        <v>39055</v>
      </c>
      <c r="B287" t="s">
        <v>398</v>
      </c>
      <c r="C287" t="s">
        <v>404</v>
      </c>
      <c r="D287">
        <v>31393</v>
      </c>
      <c r="E287" s="24">
        <v>42501</v>
      </c>
      <c r="F287" t="s">
        <v>108</v>
      </c>
      <c r="G287">
        <v>31</v>
      </c>
      <c r="H287">
        <v>110.32</v>
      </c>
      <c r="I287" s="25">
        <v>0.09</v>
      </c>
      <c r="J287" t="s">
        <v>103</v>
      </c>
    </row>
    <row r="288" spans="1:10">
      <c r="A288" s="24">
        <f t="shared" si="6"/>
        <v>39069</v>
      </c>
      <c r="B288" t="s">
        <v>398</v>
      </c>
      <c r="C288" t="s">
        <v>405</v>
      </c>
      <c r="D288">
        <v>31492</v>
      </c>
      <c r="E288" s="24">
        <v>42658</v>
      </c>
      <c r="F288" t="s">
        <v>108</v>
      </c>
      <c r="G288">
        <v>26</v>
      </c>
      <c r="H288">
        <v>321.68</v>
      </c>
      <c r="I288" s="25">
        <v>0.04</v>
      </c>
      <c r="J288" t="s">
        <v>103</v>
      </c>
    </row>
    <row r="289" spans="1:10">
      <c r="A289" s="24">
        <f t="shared" si="6"/>
        <v>39083</v>
      </c>
      <c r="B289" t="s">
        <v>406</v>
      </c>
      <c r="C289" t="s">
        <v>407</v>
      </c>
      <c r="D289">
        <v>31492</v>
      </c>
      <c r="E289" s="24">
        <v>42658</v>
      </c>
      <c r="F289" t="s">
        <v>108</v>
      </c>
      <c r="G289">
        <v>34</v>
      </c>
      <c r="H289">
        <v>971.95</v>
      </c>
      <c r="I289" s="25">
        <v>0.09</v>
      </c>
      <c r="J289" t="s">
        <v>120</v>
      </c>
    </row>
    <row r="290" spans="1:10">
      <c r="A290" s="24">
        <f t="shared" si="6"/>
        <v>39097</v>
      </c>
      <c r="B290" t="s">
        <v>406</v>
      </c>
      <c r="C290" t="s">
        <v>408</v>
      </c>
      <c r="D290">
        <v>31492</v>
      </c>
      <c r="E290" s="24">
        <v>42658</v>
      </c>
      <c r="F290" t="s">
        <v>108</v>
      </c>
      <c r="G290">
        <v>23</v>
      </c>
      <c r="H290">
        <v>2149.0300000000002</v>
      </c>
      <c r="I290" s="25">
        <v>0.03</v>
      </c>
      <c r="J290" t="s">
        <v>103</v>
      </c>
    </row>
    <row r="291" spans="1:10">
      <c r="A291" s="24">
        <f t="shared" si="6"/>
        <v>39111</v>
      </c>
      <c r="B291" t="s">
        <v>406</v>
      </c>
      <c r="C291" t="s">
        <v>409</v>
      </c>
      <c r="D291">
        <v>31558</v>
      </c>
      <c r="E291" s="24">
        <v>41843</v>
      </c>
      <c r="F291" t="s">
        <v>125</v>
      </c>
      <c r="G291">
        <v>12</v>
      </c>
      <c r="H291">
        <v>3671.3</v>
      </c>
      <c r="I291" s="25">
        <v>0.04</v>
      </c>
      <c r="J291" t="s">
        <v>103</v>
      </c>
    </row>
    <row r="292" spans="1:10">
      <c r="A292" s="24">
        <f t="shared" si="6"/>
        <v>39125</v>
      </c>
      <c r="B292" t="s">
        <v>406</v>
      </c>
      <c r="C292" t="s">
        <v>410</v>
      </c>
      <c r="D292">
        <v>31558</v>
      </c>
      <c r="E292" s="24">
        <v>41843</v>
      </c>
      <c r="F292" t="s">
        <v>125</v>
      </c>
      <c r="G292">
        <v>42</v>
      </c>
      <c r="H292">
        <v>1763.6</v>
      </c>
      <c r="I292" s="25">
        <v>0.08</v>
      </c>
      <c r="J292" t="s">
        <v>103</v>
      </c>
    </row>
    <row r="293" spans="1:10">
      <c r="A293" s="24">
        <f t="shared" si="6"/>
        <v>39139</v>
      </c>
      <c r="B293" t="s">
        <v>406</v>
      </c>
      <c r="C293" t="s">
        <v>411</v>
      </c>
      <c r="D293">
        <v>31618</v>
      </c>
      <c r="E293" s="24">
        <v>41831</v>
      </c>
      <c r="F293" t="s">
        <v>108</v>
      </c>
      <c r="G293">
        <v>14</v>
      </c>
      <c r="H293">
        <v>403.17</v>
      </c>
      <c r="I293" s="25">
        <v>0.02</v>
      </c>
      <c r="J293" t="s">
        <v>103</v>
      </c>
    </row>
    <row r="294" spans="1:10">
      <c r="A294" s="24">
        <f t="shared" si="6"/>
        <v>39153</v>
      </c>
      <c r="B294" t="s">
        <v>406</v>
      </c>
      <c r="C294" t="s">
        <v>412</v>
      </c>
      <c r="D294">
        <v>31684</v>
      </c>
      <c r="E294" s="24">
        <v>42629</v>
      </c>
      <c r="F294" t="s">
        <v>108</v>
      </c>
      <c r="G294">
        <v>15</v>
      </c>
      <c r="H294">
        <v>89.97</v>
      </c>
      <c r="I294" s="25">
        <v>0.02</v>
      </c>
      <c r="J294" t="s">
        <v>103</v>
      </c>
    </row>
    <row r="295" spans="1:10">
      <c r="A295" s="24">
        <f t="shared" si="6"/>
        <v>39167</v>
      </c>
      <c r="B295" t="s">
        <v>406</v>
      </c>
      <c r="C295" t="s">
        <v>413</v>
      </c>
      <c r="D295">
        <v>31684</v>
      </c>
      <c r="E295" s="24">
        <v>42629</v>
      </c>
      <c r="F295" t="s">
        <v>108</v>
      </c>
      <c r="G295">
        <v>28</v>
      </c>
      <c r="H295">
        <v>456.91</v>
      </c>
      <c r="I295" s="25">
        <v>0.04</v>
      </c>
      <c r="J295" t="s">
        <v>120</v>
      </c>
    </row>
    <row r="296" spans="1:10">
      <c r="A296" s="24">
        <f t="shared" si="6"/>
        <v>39181</v>
      </c>
      <c r="B296" t="s">
        <v>406</v>
      </c>
      <c r="C296" t="s">
        <v>414</v>
      </c>
      <c r="D296">
        <v>31781</v>
      </c>
      <c r="E296" s="24">
        <v>42020</v>
      </c>
      <c r="F296" t="s">
        <v>102</v>
      </c>
      <c r="G296">
        <v>46</v>
      </c>
      <c r="H296">
        <v>249.02</v>
      </c>
      <c r="I296" s="25">
        <v>0.1</v>
      </c>
      <c r="J296" t="s">
        <v>103</v>
      </c>
    </row>
    <row r="297" spans="1:10">
      <c r="A297" s="24">
        <f t="shared" si="6"/>
        <v>39195</v>
      </c>
      <c r="B297" t="s">
        <v>406</v>
      </c>
      <c r="C297" t="s">
        <v>415</v>
      </c>
      <c r="D297">
        <v>31781</v>
      </c>
      <c r="E297" s="24">
        <v>42020</v>
      </c>
      <c r="F297" t="s">
        <v>102</v>
      </c>
      <c r="G297">
        <v>41</v>
      </c>
      <c r="H297">
        <v>78.489999999999995</v>
      </c>
      <c r="I297" s="25">
        <v>0.03</v>
      </c>
      <c r="J297" t="s">
        <v>103</v>
      </c>
    </row>
    <row r="298" spans="1:10">
      <c r="A298" s="24">
        <f t="shared" si="6"/>
        <v>39209</v>
      </c>
      <c r="B298" t="s">
        <v>406</v>
      </c>
      <c r="C298" t="s">
        <v>416</v>
      </c>
      <c r="D298">
        <v>32193</v>
      </c>
      <c r="E298" s="24">
        <v>42663</v>
      </c>
      <c r="F298" t="s">
        <v>125</v>
      </c>
      <c r="G298">
        <v>4</v>
      </c>
      <c r="H298">
        <v>40.72</v>
      </c>
      <c r="I298" s="25">
        <v>0.1</v>
      </c>
      <c r="J298" t="s">
        <v>120</v>
      </c>
    </row>
    <row r="299" spans="1:10">
      <c r="A299" s="24">
        <f t="shared" si="6"/>
        <v>39223</v>
      </c>
      <c r="B299" t="s">
        <v>417</v>
      </c>
      <c r="C299" t="s">
        <v>418</v>
      </c>
      <c r="D299">
        <v>32193</v>
      </c>
      <c r="E299" s="24">
        <v>42663</v>
      </c>
      <c r="F299" t="s">
        <v>125</v>
      </c>
      <c r="G299">
        <v>27</v>
      </c>
      <c r="H299">
        <v>113.3</v>
      </c>
      <c r="I299" s="25">
        <v>0.02</v>
      </c>
      <c r="J299" t="s">
        <v>103</v>
      </c>
    </row>
    <row r="300" spans="1:10">
      <c r="A300" s="24">
        <f t="shared" si="6"/>
        <v>39237</v>
      </c>
      <c r="B300" t="s">
        <v>417</v>
      </c>
      <c r="C300" t="s">
        <v>419</v>
      </c>
      <c r="D300">
        <v>32229</v>
      </c>
      <c r="E300" s="24">
        <v>42612</v>
      </c>
      <c r="F300" t="s">
        <v>111</v>
      </c>
      <c r="G300">
        <v>8</v>
      </c>
      <c r="H300">
        <v>1219.19</v>
      </c>
      <c r="I300" s="25">
        <v>0.02</v>
      </c>
      <c r="J300" t="s">
        <v>103</v>
      </c>
    </row>
    <row r="301" spans="1:10">
      <c r="A301" s="24">
        <f t="shared" si="6"/>
        <v>39251</v>
      </c>
      <c r="B301" t="s">
        <v>417</v>
      </c>
      <c r="C301" t="s">
        <v>420</v>
      </c>
      <c r="D301">
        <v>32229</v>
      </c>
      <c r="E301" s="24">
        <v>42612</v>
      </c>
      <c r="F301" t="s">
        <v>111</v>
      </c>
      <c r="G301">
        <v>15</v>
      </c>
      <c r="H301">
        <v>28.68</v>
      </c>
      <c r="I301" s="25">
        <v>0</v>
      </c>
      <c r="J301" t="s">
        <v>103</v>
      </c>
    </row>
    <row r="302" spans="1:10">
      <c r="A302" s="24">
        <f t="shared" si="6"/>
        <v>39265</v>
      </c>
      <c r="B302" t="s">
        <v>417</v>
      </c>
      <c r="C302" t="s">
        <v>421</v>
      </c>
      <c r="D302">
        <v>32743</v>
      </c>
      <c r="E302" s="24">
        <v>42497</v>
      </c>
      <c r="F302" t="s">
        <v>108</v>
      </c>
      <c r="G302">
        <v>19</v>
      </c>
      <c r="H302">
        <v>3548.67</v>
      </c>
      <c r="I302" s="25">
        <v>0.01</v>
      </c>
      <c r="J302" t="s">
        <v>103</v>
      </c>
    </row>
    <row r="303" spans="1:10">
      <c r="A303" s="24">
        <f t="shared" si="6"/>
        <v>39279</v>
      </c>
      <c r="B303" t="s">
        <v>417</v>
      </c>
      <c r="C303" t="s">
        <v>422</v>
      </c>
      <c r="D303">
        <v>32806</v>
      </c>
      <c r="E303" s="24">
        <v>41811</v>
      </c>
      <c r="F303" t="s">
        <v>108</v>
      </c>
      <c r="G303">
        <v>8</v>
      </c>
      <c r="H303">
        <v>178.78</v>
      </c>
      <c r="I303" s="25">
        <v>0.02</v>
      </c>
      <c r="J303" t="s">
        <v>103</v>
      </c>
    </row>
    <row r="304" spans="1:10">
      <c r="A304" s="24">
        <f t="shared" si="6"/>
        <v>39293</v>
      </c>
      <c r="B304" t="s">
        <v>417</v>
      </c>
      <c r="C304" t="s">
        <v>423</v>
      </c>
      <c r="D304">
        <v>33123</v>
      </c>
      <c r="E304" s="24">
        <v>42698</v>
      </c>
      <c r="F304" t="s">
        <v>102</v>
      </c>
      <c r="G304">
        <v>41</v>
      </c>
      <c r="H304">
        <v>6045.98</v>
      </c>
      <c r="I304" s="25">
        <v>0.08</v>
      </c>
      <c r="J304" t="s">
        <v>109</v>
      </c>
    </row>
    <row r="305" spans="1:10">
      <c r="A305" s="24">
        <f t="shared" si="6"/>
        <v>39307</v>
      </c>
      <c r="B305" t="s">
        <v>417</v>
      </c>
      <c r="C305" t="s">
        <v>424</v>
      </c>
      <c r="D305">
        <v>33159</v>
      </c>
      <c r="E305" s="24">
        <v>42487</v>
      </c>
      <c r="F305" t="s">
        <v>102</v>
      </c>
      <c r="G305">
        <v>3</v>
      </c>
      <c r="H305">
        <v>56.695</v>
      </c>
      <c r="I305" s="25">
        <v>0.01</v>
      </c>
      <c r="J305" t="s">
        <v>103</v>
      </c>
    </row>
    <row r="306" spans="1:10">
      <c r="A306" s="24">
        <f t="shared" si="6"/>
        <v>39321</v>
      </c>
      <c r="B306" t="s">
        <v>417</v>
      </c>
      <c r="C306" t="s">
        <v>425</v>
      </c>
      <c r="D306">
        <v>33186</v>
      </c>
      <c r="E306" s="24">
        <v>42610</v>
      </c>
      <c r="F306" t="s">
        <v>125</v>
      </c>
      <c r="G306">
        <v>24</v>
      </c>
      <c r="H306">
        <v>1350.5309999999999</v>
      </c>
      <c r="I306" s="25">
        <v>0.01</v>
      </c>
      <c r="J306" t="s">
        <v>103</v>
      </c>
    </row>
    <row r="307" spans="1:10">
      <c r="A307" s="24">
        <f t="shared" si="6"/>
        <v>39335</v>
      </c>
      <c r="B307" t="s">
        <v>417</v>
      </c>
      <c r="C307" t="s">
        <v>426</v>
      </c>
      <c r="D307">
        <v>33377</v>
      </c>
      <c r="E307" s="24">
        <v>41851</v>
      </c>
      <c r="F307" t="s">
        <v>111</v>
      </c>
      <c r="G307">
        <v>20</v>
      </c>
      <c r="H307">
        <v>100.4</v>
      </c>
      <c r="I307" s="25">
        <v>0.06</v>
      </c>
      <c r="J307" t="s">
        <v>103</v>
      </c>
    </row>
    <row r="308" spans="1:10">
      <c r="A308" s="24">
        <f t="shared" si="6"/>
        <v>39349</v>
      </c>
      <c r="B308" t="s">
        <v>417</v>
      </c>
      <c r="C308" t="s">
        <v>427</v>
      </c>
      <c r="D308">
        <v>33377</v>
      </c>
      <c r="E308" s="24">
        <v>41851</v>
      </c>
      <c r="F308" t="s">
        <v>111</v>
      </c>
      <c r="G308">
        <v>19</v>
      </c>
      <c r="H308">
        <v>327.14999999999998</v>
      </c>
      <c r="I308" s="25">
        <v>0.04</v>
      </c>
      <c r="J308" t="s">
        <v>103</v>
      </c>
    </row>
    <row r="309" spans="1:10">
      <c r="A309" s="24">
        <f t="shared" si="6"/>
        <v>39363</v>
      </c>
      <c r="B309" t="s">
        <v>417</v>
      </c>
      <c r="C309" t="s">
        <v>428</v>
      </c>
      <c r="D309">
        <v>33444</v>
      </c>
      <c r="E309" s="24">
        <v>42649</v>
      </c>
      <c r="F309" t="s">
        <v>102</v>
      </c>
      <c r="G309">
        <v>11</v>
      </c>
      <c r="H309">
        <v>30.51</v>
      </c>
      <c r="I309" s="25">
        <v>0.09</v>
      </c>
      <c r="J309" t="s">
        <v>103</v>
      </c>
    </row>
    <row r="310" spans="1:10">
      <c r="A310" s="24">
        <f t="shared" si="6"/>
        <v>39377</v>
      </c>
      <c r="B310" t="s">
        <v>417</v>
      </c>
      <c r="C310" t="s">
        <v>429</v>
      </c>
      <c r="D310">
        <v>33444</v>
      </c>
      <c r="E310" s="24">
        <v>42649</v>
      </c>
      <c r="F310" t="s">
        <v>102</v>
      </c>
      <c r="G310">
        <v>8</v>
      </c>
      <c r="H310">
        <v>127.8</v>
      </c>
      <c r="I310" s="25">
        <v>7.0000000000000007E-2</v>
      </c>
      <c r="J310" t="s">
        <v>103</v>
      </c>
    </row>
    <row r="311" spans="1:10">
      <c r="A311" s="24">
        <f t="shared" si="6"/>
        <v>39391</v>
      </c>
      <c r="B311" t="s">
        <v>417</v>
      </c>
      <c r="C311" t="s">
        <v>430</v>
      </c>
      <c r="D311">
        <v>33703</v>
      </c>
      <c r="E311" s="24">
        <v>42406</v>
      </c>
      <c r="F311" t="s">
        <v>106</v>
      </c>
      <c r="G311">
        <v>4</v>
      </c>
      <c r="H311">
        <v>242.36</v>
      </c>
      <c r="I311" s="25">
        <v>0.08</v>
      </c>
      <c r="J311" t="s">
        <v>103</v>
      </c>
    </row>
    <row r="312" spans="1:10">
      <c r="A312" s="24">
        <f t="shared" si="6"/>
        <v>39405</v>
      </c>
      <c r="B312" t="s">
        <v>417</v>
      </c>
      <c r="C312" t="s">
        <v>431</v>
      </c>
      <c r="D312">
        <v>33703</v>
      </c>
      <c r="E312" s="24">
        <v>42406</v>
      </c>
      <c r="F312" t="s">
        <v>106</v>
      </c>
      <c r="G312">
        <v>25</v>
      </c>
      <c r="H312">
        <v>802.19</v>
      </c>
      <c r="I312" s="25">
        <v>0</v>
      </c>
      <c r="J312" t="s">
        <v>103</v>
      </c>
    </row>
    <row r="313" spans="1:10">
      <c r="A313" s="24">
        <f t="shared" si="6"/>
        <v>39419</v>
      </c>
      <c r="B313" t="s">
        <v>417</v>
      </c>
      <c r="C313" t="s">
        <v>432</v>
      </c>
      <c r="D313">
        <v>33703</v>
      </c>
      <c r="E313" s="24">
        <v>42406</v>
      </c>
      <c r="F313" t="s">
        <v>106</v>
      </c>
      <c r="G313">
        <v>4</v>
      </c>
      <c r="H313">
        <v>63.52</v>
      </c>
      <c r="I313" s="25">
        <v>0.08</v>
      </c>
      <c r="J313" t="s">
        <v>120</v>
      </c>
    </row>
    <row r="314" spans="1:10">
      <c r="A314" s="24">
        <f t="shared" si="6"/>
        <v>39433</v>
      </c>
      <c r="B314" t="s">
        <v>417</v>
      </c>
      <c r="C314" t="s">
        <v>433</v>
      </c>
      <c r="D314">
        <v>33734</v>
      </c>
      <c r="E314" s="24">
        <v>41929</v>
      </c>
      <c r="F314" t="s">
        <v>106</v>
      </c>
      <c r="G314">
        <v>13</v>
      </c>
      <c r="H314">
        <v>371.94</v>
      </c>
      <c r="I314" s="25">
        <v>0.05</v>
      </c>
      <c r="J314" t="s">
        <v>103</v>
      </c>
    </row>
    <row r="315" spans="1:10">
      <c r="A315" s="24">
        <f t="shared" si="6"/>
        <v>39447</v>
      </c>
      <c r="B315" t="s">
        <v>417</v>
      </c>
      <c r="C315" t="s">
        <v>434</v>
      </c>
      <c r="D315">
        <v>33888</v>
      </c>
      <c r="E315" s="24">
        <v>42236</v>
      </c>
      <c r="F315" t="s">
        <v>106</v>
      </c>
      <c r="G315">
        <v>31</v>
      </c>
      <c r="H315">
        <v>349.43</v>
      </c>
      <c r="I315" s="25">
        <v>0.04</v>
      </c>
      <c r="J315" t="s">
        <v>103</v>
      </c>
    </row>
    <row r="316" spans="1:10">
      <c r="A316" s="24">
        <f t="shared" si="6"/>
        <v>39461</v>
      </c>
      <c r="B316" t="s">
        <v>417</v>
      </c>
      <c r="C316" t="s">
        <v>435</v>
      </c>
      <c r="D316">
        <v>33888</v>
      </c>
      <c r="E316" s="24">
        <v>42236</v>
      </c>
      <c r="F316" t="s">
        <v>106</v>
      </c>
      <c r="G316">
        <v>3</v>
      </c>
      <c r="H316">
        <v>58.33</v>
      </c>
      <c r="I316" s="25">
        <v>0.02</v>
      </c>
      <c r="J316" t="s">
        <v>103</v>
      </c>
    </row>
    <row r="317" spans="1:10">
      <c r="A317" s="24">
        <f t="shared" si="6"/>
        <v>39475</v>
      </c>
      <c r="B317" t="s">
        <v>436</v>
      </c>
      <c r="C317" t="s">
        <v>579</v>
      </c>
      <c r="D317">
        <v>33888</v>
      </c>
      <c r="E317" s="24">
        <v>42236</v>
      </c>
      <c r="F317" t="s">
        <v>106</v>
      </c>
      <c r="G317">
        <v>47</v>
      </c>
      <c r="H317">
        <v>10377.219999999999</v>
      </c>
      <c r="I317" s="25">
        <v>0.05</v>
      </c>
      <c r="J317" t="s">
        <v>109</v>
      </c>
    </row>
    <row r="318" spans="1:10">
      <c r="A318" s="24">
        <f t="shared" si="6"/>
        <v>39489</v>
      </c>
      <c r="B318" t="s">
        <v>436</v>
      </c>
      <c r="C318" t="s">
        <v>580</v>
      </c>
      <c r="D318">
        <v>33894</v>
      </c>
      <c r="E318" s="24">
        <v>42535</v>
      </c>
      <c r="F318" t="s">
        <v>108</v>
      </c>
      <c r="G318">
        <v>14</v>
      </c>
      <c r="H318">
        <v>140.66</v>
      </c>
      <c r="I318" s="25">
        <v>0</v>
      </c>
      <c r="J318" t="s">
        <v>103</v>
      </c>
    </row>
    <row r="319" spans="1:10">
      <c r="A319" s="24">
        <f t="shared" si="6"/>
        <v>39503</v>
      </c>
      <c r="B319" t="s">
        <v>436</v>
      </c>
      <c r="C319" t="s">
        <v>581</v>
      </c>
      <c r="D319">
        <v>33894</v>
      </c>
      <c r="E319" s="24">
        <v>42535</v>
      </c>
      <c r="F319" t="s">
        <v>108</v>
      </c>
      <c r="G319">
        <v>5</v>
      </c>
      <c r="H319">
        <v>42.89</v>
      </c>
      <c r="I319" s="25">
        <v>0.02</v>
      </c>
      <c r="J319" t="s">
        <v>103</v>
      </c>
    </row>
    <row r="320" spans="1:10">
      <c r="A320" s="24">
        <f t="shared" si="6"/>
        <v>39517</v>
      </c>
      <c r="B320" t="s">
        <v>436</v>
      </c>
      <c r="C320" t="s">
        <v>582</v>
      </c>
      <c r="D320">
        <v>33894</v>
      </c>
      <c r="E320" s="24">
        <v>42535</v>
      </c>
      <c r="F320" t="s">
        <v>108</v>
      </c>
      <c r="G320">
        <v>48</v>
      </c>
      <c r="H320">
        <v>226.5</v>
      </c>
      <c r="I320" s="25">
        <v>0.09</v>
      </c>
      <c r="J320" t="s">
        <v>103</v>
      </c>
    </row>
    <row r="321" spans="1:10">
      <c r="A321" s="24">
        <f t="shared" si="6"/>
        <v>39531</v>
      </c>
      <c r="B321" t="s">
        <v>436</v>
      </c>
      <c r="C321" t="s">
        <v>583</v>
      </c>
      <c r="D321">
        <v>33894</v>
      </c>
      <c r="E321" s="24">
        <v>42535</v>
      </c>
      <c r="F321" t="s">
        <v>108</v>
      </c>
      <c r="G321">
        <v>13</v>
      </c>
      <c r="H321">
        <v>438.93</v>
      </c>
      <c r="I321" s="25">
        <v>0.04</v>
      </c>
      <c r="J321" t="s">
        <v>120</v>
      </c>
    </row>
    <row r="322" spans="1:10">
      <c r="A322" s="24">
        <f t="shared" si="6"/>
        <v>39545</v>
      </c>
      <c r="B322" t="s">
        <v>436</v>
      </c>
      <c r="C322" t="s">
        <v>584</v>
      </c>
      <c r="D322">
        <v>33922</v>
      </c>
      <c r="E322" s="24">
        <v>42427</v>
      </c>
      <c r="F322" t="s">
        <v>106</v>
      </c>
      <c r="G322">
        <v>31</v>
      </c>
      <c r="H322">
        <v>15251.5</v>
      </c>
      <c r="I322" s="25">
        <v>0.06</v>
      </c>
      <c r="J322" t="s">
        <v>109</v>
      </c>
    </row>
    <row r="323" spans="1:10">
      <c r="A323" s="24">
        <f t="shared" si="6"/>
        <v>39559</v>
      </c>
      <c r="B323" t="s">
        <v>436</v>
      </c>
      <c r="C323" t="s">
        <v>585</v>
      </c>
      <c r="D323">
        <v>34177</v>
      </c>
      <c r="E323" s="24">
        <v>42231</v>
      </c>
      <c r="F323" t="s">
        <v>111</v>
      </c>
      <c r="G323">
        <v>13</v>
      </c>
      <c r="H323">
        <v>34.42</v>
      </c>
      <c r="I323" s="25">
        <v>0.02</v>
      </c>
      <c r="J323" t="s">
        <v>103</v>
      </c>
    </row>
    <row r="324" spans="1:10">
      <c r="A324" s="24">
        <f t="shared" ref="A324:A387" si="7">EDATE(A323, 0) + 14</f>
        <v>39573</v>
      </c>
      <c r="B324" t="s">
        <v>436</v>
      </c>
      <c r="C324" t="s">
        <v>586</v>
      </c>
      <c r="D324">
        <v>34177</v>
      </c>
      <c r="E324" s="24">
        <v>42231</v>
      </c>
      <c r="F324" t="s">
        <v>111</v>
      </c>
      <c r="G324">
        <v>26</v>
      </c>
      <c r="H324">
        <v>172.76</v>
      </c>
      <c r="I324" s="25">
        <v>0.1</v>
      </c>
      <c r="J324" t="s">
        <v>103</v>
      </c>
    </row>
    <row r="325" spans="1:10">
      <c r="A325" s="24">
        <f t="shared" si="7"/>
        <v>39587</v>
      </c>
      <c r="B325" t="s">
        <v>436</v>
      </c>
      <c r="C325" t="s">
        <v>587</v>
      </c>
      <c r="D325">
        <v>34177</v>
      </c>
      <c r="E325" s="24">
        <v>42231</v>
      </c>
      <c r="F325" t="s">
        <v>111</v>
      </c>
      <c r="G325">
        <v>50</v>
      </c>
      <c r="H325">
        <v>853.16200000000003</v>
      </c>
      <c r="I325" s="25">
        <v>0.1</v>
      </c>
      <c r="J325" t="s">
        <v>103</v>
      </c>
    </row>
    <row r="326" spans="1:10">
      <c r="A326" s="24">
        <f t="shared" si="7"/>
        <v>39601</v>
      </c>
      <c r="B326" t="s">
        <v>436</v>
      </c>
      <c r="C326" t="s">
        <v>588</v>
      </c>
      <c r="D326">
        <v>34215</v>
      </c>
      <c r="E326" s="24">
        <v>41773</v>
      </c>
      <c r="F326" t="s">
        <v>111</v>
      </c>
      <c r="G326">
        <v>6</v>
      </c>
      <c r="H326">
        <v>35.65</v>
      </c>
      <c r="I326" s="25">
        <v>0.02</v>
      </c>
      <c r="J326" t="s">
        <v>103</v>
      </c>
    </row>
    <row r="327" spans="1:10">
      <c r="A327" s="24">
        <f t="shared" si="7"/>
        <v>39615</v>
      </c>
      <c r="B327" t="s">
        <v>436</v>
      </c>
      <c r="C327" t="s">
        <v>589</v>
      </c>
      <c r="D327">
        <v>34246</v>
      </c>
      <c r="E327" s="24">
        <v>42650</v>
      </c>
      <c r="F327" t="s">
        <v>108</v>
      </c>
      <c r="G327">
        <v>49</v>
      </c>
      <c r="H327">
        <v>199.86</v>
      </c>
      <c r="I327" s="25">
        <v>0.03</v>
      </c>
      <c r="J327" t="s">
        <v>103</v>
      </c>
    </row>
    <row r="328" spans="1:10">
      <c r="A328" s="24">
        <f t="shared" si="7"/>
        <v>39629</v>
      </c>
      <c r="B328" t="s">
        <v>436</v>
      </c>
      <c r="C328" t="s">
        <v>590</v>
      </c>
      <c r="D328">
        <v>34246</v>
      </c>
      <c r="E328" s="24">
        <v>42650</v>
      </c>
      <c r="F328" t="s">
        <v>108</v>
      </c>
      <c r="G328">
        <v>18</v>
      </c>
      <c r="H328">
        <v>1888.02</v>
      </c>
      <c r="I328" s="25">
        <v>0.03</v>
      </c>
      <c r="J328" t="s">
        <v>103</v>
      </c>
    </row>
    <row r="329" spans="1:10">
      <c r="A329" s="24">
        <f t="shared" si="7"/>
        <v>39643</v>
      </c>
      <c r="B329" t="s">
        <v>436</v>
      </c>
      <c r="C329" t="s">
        <v>591</v>
      </c>
      <c r="D329">
        <v>34246</v>
      </c>
      <c r="E329" s="24">
        <v>42650</v>
      </c>
      <c r="F329" t="s">
        <v>108</v>
      </c>
      <c r="G329">
        <v>27</v>
      </c>
      <c r="H329">
        <v>322.69</v>
      </c>
      <c r="I329" s="25">
        <v>0.01</v>
      </c>
      <c r="J329" t="s">
        <v>103</v>
      </c>
    </row>
    <row r="330" spans="1:10">
      <c r="A330" s="24">
        <f t="shared" si="7"/>
        <v>39657</v>
      </c>
      <c r="B330" t="s">
        <v>436</v>
      </c>
      <c r="C330" t="s">
        <v>592</v>
      </c>
      <c r="D330">
        <v>34631</v>
      </c>
      <c r="E330" s="24">
        <v>42300</v>
      </c>
      <c r="F330" t="s">
        <v>106</v>
      </c>
      <c r="G330">
        <v>5</v>
      </c>
      <c r="H330">
        <v>22.06</v>
      </c>
      <c r="I330" s="25">
        <v>0.06</v>
      </c>
      <c r="J330" t="s">
        <v>103</v>
      </c>
    </row>
    <row r="331" spans="1:10">
      <c r="A331" s="24">
        <f t="shared" si="7"/>
        <v>39671</v>
      </c>
      <c r="B331" t="s">
        <v>436</v>
      </c>
      <c r="C331" t="s">
        <v>593</v>
      </c>
      <c r="D331">
        <v>34631</v>
      </c>
      <c r="E331" s="24">
        <v>42300</v>
      </c>
      <c r="F331" t="s">
        <v>106</v>
      </c>
      <c r="G331">
        <v>19</v>
      </c>
      <c r="H331">
        <v>12616.2</v>
      </c>
      <c r="I331" s="25">
        <v>7.0000000000000007E-2</v>
      </c>
      <c r="J331" t="s">
        <v>103</v>
      </c>
    </row>
    <row r="332" spans="1:10">
      <c r="A332" s="24">
        <f t="shared" si="7"/>
        <v>39685</v>
      </c>
      <c r="B332" t="s">
        <v>436</v>
      </c>
      <c r="C332" t="s">
        <v>594</v>
      </c>
      <c r="D332">
        <v>35047</v>
      </c>
      <c r="E332" s="24">
        <v>42530</v>
      </c>
      <c r="F332" t="s">
        <v>102</v>
      </c>
      <c r="G332">
        <v>31</v>
      </c>
      <c r="H332">
        <v>148.16999999999999</v>
      </c>
      <c r="I332" s="25">
        <v>0</v>
      </c>
      <c r="J332" t="s">
        <v>103</v>
      </c>
    </row>
    <row r="333" spans="1:10">
      <c r="A333" s="24">
        <f t="shared" si="7"/>
        <v>39699</v>
      </c>
      <c r="B333" t="s">
        <v>436</v>
      </c>
      <c r="C333" t="s">
        <v>595</v>
      </c>
      <c r="D333">
        <v>35266</v>
      </c>
      <c r="E333" s="24">
        <v>41649</v>
      </c>
      <c r="F333" t="s">
        <v>106</v>
      </c>
      <c r="G333">
        <v>39</v>
      </c>
      <c r="H333">
        <v>217.25</v>
      </c>
      <c r="I333" s="25">
        <v>7.0000000000000007E-2</v>
      </c>
      <c r="J333" t="s">
        <v>103</v>
      </c>
    </row>
    <row r="334" spans="1:10">
      <c r="A334" s="24">
        <f t="shared" si="7"/>
        <v>39713</v>
      </c>
      <c r="B334" t="s">
        <v>436</v>
      </c>
      <c r="C334" t="s">
        <v>596</v>
      </c>
      <c r="D334">
        <v>35266</v>
      </c>
      <c r="E334" s="24">
        <v>41649</v>
      </c>
      <c r="F334" t="s">
        <v>106</v>
      </c>
      <c r="G334">
        <v>28</v>
      </c>
      <c r="H334">
        <v>5993.74</v>
      </c>
      <c r="I334" s="25">
        <v>7.0000000000000007E-2</v>
      </c>
      <c r="J334" t="s">
        <v>109</v>
      </c>
    </row>
    <row r="335" spans="1:10">
      <c r="A335" s="24">
        <f t="shared" si="7"/>
        <v>39727</v>
      </c>
      <c r="B335" t="s">
        <v>436</v>
      </c>
      <c r="C335" t="s">
        <v>597</v>
      </c>
      <c r="D335">
        <v>35847</v>
      </c>
      <c r="E335" s="24">
        <v>42034</v>
      </c>
      <c r="F335" t="s">
        <v>108</v>
      </c>
      <c r="G335">
        <v>23</v>
      </c>
      <c r="H335">
        <v>361.65</v>
      </c>
      <c r="I335" s="25">
        <v>0.08</v>
      </c>
      <c r="J335" t="s">
        <v>120</v>
      </c>
    </row>
    <row r="336" spans="1:10">
      <c r="A336" s="24">
        <f t="shared" si="7"/>
        <v>39741</v>
      </c>
      <c r="B336" t="s">
        <v>436</v>
      </c>
      <c r="C336" t="s">
        <v>598</v>
      </c>
      <c r="D336">
        <v>36001</v>
      </c>
      <c r="E336" s="24">
        <v>41726</v>
      </c>
      <c r="F336" t="s">
        <v>125</v>
      </c>
      <c r="G336">
        <v>45</v>
      </c>
      <c r="H336">
        <v>1038.82</v>
      </c>
      <c r="I336" s="25">
        <v>0.05</v>
      </c>
      <c r="J336" t="s">
        <v>103</v>
      </c>
    </row>
    <row r="337" spans="1:10">
      <c r="A337" s="24">
        <f t="shared" si="7"/>
        <v>39755</v>
      </c>
      <c r="B337" t="s">
        <v>436</v>
      </c>
      <c r="C337" t="s">
        <v>599</v>
      </c>
      <c r="D337">
        <v>36001</v>
      </c>
      <c r="E337" s="24">
        <v>41726</v>
      </c>
      <c r="F337" t="s">
        <v>125</v>
      </c>
      <c r="G337">
        <v>47</v>
      </c>
      <c r="H337">
        <v>564.39</v>
      </c>
      <c r="I337" s="25">
        <v>0.09</v>
      </c>
      <c r="J337" t="s">
        <v>103</v>
      </c>
    </row>
    <row r="338" spans="1:10">
      <c r="A338" s="24">
        <f t="shared" si="7"/>
        <v>39769</v>
      </c>
      <c r="B338" t="s">
        <v>436</v>
      </c>
      <c r="C338" t="s">
        <v>600</v>
      </c>
      <c r="D338">
        <v>36134</v>
      </c>
      <c r="E338" s="24">
        <v>42696</v>
      </c>
      <c r="F338" t="s">
        <v>125</v>
      </c>
      <c r="G338">
        <v>6</v>
      </c>
      <c r="H338">
        <v>826.97349999999994</v>
      </c>
      <c r="I338" s="25">
        <v>0.01</v>
      </c>
      <c r="J338" t="s">
        <v>103</v>
      </c>
    </row>
    <row r="339" spans="1:10">
      <c r="A339" s="24">
        <f t="shared" si="7"/>
        <v>39783</v>
      </c>
      <c r="B339" t="s">
        <v>436</v>
      </c>
      <c r="C339" t="s">
        <v>601</v>
      </c>
      <c r="D339">
        <v>36135</v>
      </c>
      <c r="E339" s="24">
        <v>41789</v>
      </c>
      <c r="F339" t="s">
        <v>106</v>
      </c>
      <c r="G339">
        <v>33</v>
      </c>
      <c r="H339">
        <v>999.22599999999989</v>
      </c>
      <c r="I339" s="25">
        <v>0.02</v>
      </c>
      <c r="J339" t="s">
        <v>103</v>
      </c>
    </row>
    <row r="340" spans="1:10">
      <c r="A340" s="24">
        <f t="shared" si="7"/>
        <v>39797</v>
      </c>
      <c r="B340" t="s">
        <v>436</v>
      </c>
      <c r="C340" t="s">
        <v>602</v>
      </c>
      <c r="D340">
        <v>36644</v>
      </c>
      <c r="E340" s="24">
        <v>42503</v>
      </c>
      <c r="F340" t="s">
        <v>111</v>
      </c>
      <c r="G340">
        <v>24</v>
      </c>
      <c r="H340">
        <v>2298.3200000000002</v>
      </c>
      <c r="I340" s="25">
        <v>0.06</v>
      </c>
      <c r="J340" t="s">
        <v>103</v>
      </c>
    </row>
    <row r="341" spans="1:10">
      <c r="A341" s="24">
        <f t="shared" si="7"/>
        <v>39811</v>
      </c>
      <c r="B341" t="s">
        <v>436</v>
      </c>
      <c r="C341" t="s">
        <v>603</v>
      </c>
      <c r="D341">
        <v>36646</v>
      </c>
      <c r="E341" s="24">
        <v>42529</v>
      </c>
      <c r="F341" t="s">
        <v>102</v>
      </c>
      <c r="G341">
        <v>24</v>
      </c>
      <c r="H341">
        <v>1168.1500000000001</v>
      </c>
      <c r="I341" s="25">
        <v>0.04</v>
      </c>
      <c r="J341" t="s">
        <v>120</v>
      </c>
    </row>
    <row r="342" spans="1:10">
      <c r="A342" s="24">
        <f t="shared" si="7"/>
        <v>39825</v>
      </c>
      <c r="B342" t="s">
        <v>436</v>
      </c>
      <c r="C342" t="s">
        <v>604</v>
      </c>
      <c r="D342">
        <v>36707</v>
      </c>
      <c r="E342" s="24">
        <v>42337</v>
      </c>
      <c r="F342" t="s">
        <v>102</v>
      </c>
      <c r="G342">
        <v>47</v>
      </c>
      <c r="H342">
        <v>181.78</v>
      </c>
      <c r="I342" s="25">
        <v>0.02</v>
      </c>
      <c r="J342" t="s">
        <v>103</v>
      </c>
    </row>
    <row r="343" spans="1:10">
      <c r="A343" s="24">
        <f t="shared" si="7"/>
        <v>39839</v>
      </c>
      <c r="B343" t="s">
        <v>436</v>
      </c>
      <c r="C343" t="s">
        <v>605</v>
      </c>
      <c r="D343">
        <v>37253</v>
      </c>
      <c r="E343" s="24">
        <v>42614</v>
      </c>
      <c r="F343" t="s">
        <v>111</v>
      </c>
      <c r="G343">
        <v>46</v>
      </c>
      <c r="H343">
        <v>1184.32</v>
      </c>
      <c r="I343" s="25">
        <v>0.09</v>
      </c>
      <c r="J343" t="s">
        <v>103</v>
      </c>
    </row>
    <row r="344" spans="1:10">
      <c r="A344" s="24">
        <f t="shared" si="7"/>
        <v>39853</v>
      </c>
      <c r="B344" t="s">
        <v>436</v>
      </c>
      <c r="C344" t="s">
        <v>606</v>
      </c>
      <c r="D344">
        <v>37541</v>
      </c>
      <c r="E344" s="24">
        <v>42426</v>
      </c>
      <c r="F344" t="s">
        <v>102</v>
      </c>
      <c r="G344">
        <v>3</v>
      </c>
      <c r="H344">
        <v>71.94</v>
      </c>
      <c r="I344" s="25">
        <v>0.01</v>
      </c>
      <c r="J344" t="s">
        <v>103</v>
      </c>
    </row>
    <row r="345" spans="1:10">
      <c r="A345" s="24">
        <f t="shared" si="7"/>
        <v>39867</v>
      </c>
      <c r="B345" t="s">
        <v>436</v>
      </c>
      <c r="C345" t="s">
        <v>607</v>
      </c>
      <c r="D345">
        <v>37541</v>
      </c>
      <c r="E345" s="24">
        <v>42426</v>
      </c>
      <c r="F345" t="s">
        <v>102</v>
      </c>
      <c r="G345">
        <v>10</v>
      </c>
      <c r="H345">
        <v>550.61</v>
      </c>
      <c r="I345" s="25">
        <v>0.08</v>
      </c>
      <c r="J345" t="s">
        <v>120</v>
      </c>
    </row>
    <row r="346" spans="1:10">
      <c r="A346" s="24">
        <f t="shared" si="7"/>
        <v>39881</v>
      </c>
      <c r="B346" t="s">
        <v>436</v>
      </c>
      <c r="C346" t="s">
        <v>608</v>
      </c>
      <c r="D346">
        <v>37541</v>
      </c>
      <c r="E346" s="24">
        <v>42426</v>
      </c>
      <c r="F346" t="s">
        <v>102</v>
      </c>
      <c r="G346">
        <v>18</v>
      </c>
      <c r="H346">
        <v>1373.11</v>
      </c>
      <c r="I346" s="25">
        <v>0.1</v>
      </c>
      <c r="J346" t="s">
        <v>103</v>
      </c>
    </row>
    <row r="347" spans="1:10">
      <c r="A347" s="24">
        <f t="shared" si="7"/>
        <v>39895</v>
      </c>
      <c r="B347" t="s">
        <v>436</v>
      </c>
      <c r="C347" t="s">
        <v>609</v>
      </c>
      <c r="D347">
        <v>37634</v>
      </c>
      <c r="E347" s="24">
        <v>42511</v>
      </c>
      <c r="F347" t="s">
        <v>102</v>
      </c>
      <c r="G347">
        <v>32</v>
      </c>
      <c r="H347">
        <v>368.18</v>
      </c>
      <c r="I347" s="25">
        <v>7.0000000000000007E-2</v>
      </c>
      <c r="J347" t="s">
        <v>103</v>
      </c>
    </row>
    <row r="348" spans="1:10">
      <c r="A348" s="24">
        <f t="shared" si="7"/>
        <v>39909</v>
      </c>
      <c r="B348" t="s">
        <v>436</v>
      </c>
      <c r="C348" t="s">
        <v>610</v>
      </c>
      <c r="D348">
        <v>37793</v>
      </c>
      <c r="E348" s="24">
        <v>42316</v>
      </c>
      <c r="F348" t="s">
        <v>106</v>
      </c>
      <c r="G348">
        <v>16</v>
      </c>
      <c r="H348">
        <v>224.47</v>
      </c>
      <c r="I348" s="25">
        <v>0.08</v>
      </c>
      <c r="J348" t="s">
        <v>103</v>
      </c>
    </row>
    <row r="349" spans="1:10">
      <c r="A349" s="24">
        <f t="shared" si="7"/>
        <v>39923</v>
      </c>
      <c r="B349" t="s">
        <v>436</v>
      </c>
      <c r="C349" t="s">
        <v>611</v>
      </c>
      <c r="D349">
        <v>37860</v>
      </c>
      <c r="E349" s="24">
        <v>42609</v>
      </c>
      <c r="F349" t="s">
        <v>102</v>
      </c>
      <c r="G349">
        <v>1</v>
      </c>
      <c r="H349">
        <v>104.85</v>
      </c>
      <c r="I349" s="25">
        <v>7.0000000000000007E-2</v>
      </c>
      <c r="J349" t="s">
        <v>103</v>
      </c>
    </row>
    <row r="350" spans="1:10">
      <c r="A350" s="24">
        <f t="shared" si="7"/>
        <v>39937</v>
      </c>
      <c r="B350" t="s">
        <v>436</v>
      </c>
      <c r="C350" t="s">
        <v>612</v>
      </c>
      <c r="D350">
        <v>38884</v>
      </c>
      <c r="E350" s="24">
        <v>42599</v>
      </c>
      <c r="F350" t="s">
        <v>111</v>
      </c>
      <c r="G350">
        <v>47</v>
      </c>
      <c r="H350">
        <v>256</v>
      </c>
      <c r="I350" s="25">
        <v>0.03</v>
      </c>
      <c r="J350" t="s">
        <v>103</v>
      </c>
    </row>
    <row r="351" spans="1:10">
      <c r="A351" s="24">
        <f t="shared" si="7"/>
        <v>39951</v>
      </c>
      <c r="B351" t="s">
        <v>436</v>
      </c>
      <c r="C351" t="s">
        <v>613</v>
      </c>
      <c r="D351">
        <v>38884</v>
      </c>
      <c r="E351" s="24">
        <v>42599</v>
      </c>
      <c r="F351" t="s">
        <v>111</v>
      </c>
      <c r="G351">
        <v>20</v>
      </c>
      <c r="H351">
        <v>6067.76</v>
      </c>
      <c r="I351" s="25">
        <v>0.06</v>
      </c>
      <c r="J351" t="s">
        <v>109</v>
      </c>
    </row>
    <row r="352" spans="1:10">
      <c r="A352" s="24">
        <f t="shared" si="7"/>
        <v>39965</v>
      </c>
      <c r="B352" t="s">
        <v>436</v>
      </c>
      <c r="C352" t="s">
        <v>614</v>
      </c>
      <c r="D352">
        <v>39364</v>
      </c>
      <c r="E352" s="24">
        <v>42683</v>
      </c>
      <c r="F352" t="s">
        <v>111</v>
      </c>
      <c r="G352">
        <v>29</v>
      </c>
      <c r="H352">
        <v>2754.93</v>
      </c>
      <c r="I352" s="25">
        <v>0.06</v>
      </c>
      <c r="J352" t="s">
        <v>103</v>
      </c>
    </row>
    <row r="353" spans="1:10">
      <c r="A353" s="24">
        <f t="shared" si="7"/>
        <v>39979</v>
      </c>
      <c r="B353" t="s">
        <v>436</v>
      </c>
      <c r="C353" t="s">
        <v>615</v>
      </c>
      <c r="D353">
        <v>39364</v>
      </c>
      <c r="E353" s="24">
        <v>42683</v>
      </c>
      <c r="F353" t="s">
        <v>111</v>
      </c>
      <c r="G353">
        <v>15</v>
      </c>
      <c r="H353">
        <v>19417.55</v>
      </c>
      <c r="I353" s="25">
        <v>0.03</v>
      </c>
      <c r="J353" t="s">
        <v>103</v>
      </c>
    </row>
    <row r="354" spans="1:10">
      <c r="A354" s="24">
        <f t="shared" si="7"/>
        <v>39993</v>
      </c>
      <c r="B354" t="s">
        <v>436</v>
      </c>
      <c r="C354" t="s">
        <v>616</v>
      </c>
      <c r="D354">
        <v>39457</v>
      </c>
      <c r="E354" s="24">
        <v>41792</v>
      </c>
      <c r="F354" t="s">
        <v>108</v>
      </c>
      <c r="G354">
        <v>40</v>
      </c>
      <c r="H354">
        <v>4842.21</v>
      </c>
      <c r="I354" s="25">
        <v>0.03</v>
      </c>
      <c r="J354" t="s">
        <v>109</v>
      </c>
    </row>
    <row r="355" spans="1:10">
      <c r="A355" s="24">
        <f t="shared" si="7"/>
        <v>40007</v>
      </c>
      <c r="B355" t="s">
        <v>436</v>
      </c>
      <c r="C355" t="s">
        <v>617</v>
      </c>
      <c r="D355">
        <v>39683</v>
      </c>
      <c r="E355" s="24">
        <v>41861</v>
      </c>
      <c r="F355" t="s">
        <v>111</v>
      </c>
      <c r="G355">
        <v>31</v>
      </c>
      <c r="H355">
        <v>615.58000000000004</v>
      </c>
      <c r="I355" s="25">
        <v>0.04</v>
      </c>
      <c r="J355" t="s">
        <v>103</v>
      </c>
    </row>
    <row r="356" spans="1:10">
      <c r="A356" s="24">
        <f t="shared" si="7"/>
        <v>40021</v>
      </c>
      <c r="B356" t="s">
        <v>436</v>
      </c>
      <c r="C356" t="s">
        <v>618</v>
      </c>
      <c r="D356">
        <v>39683</v>
      </c>
      <c r="E356" s="24">
        <v>41861</v>
      </c>
      <c r="F356" t="s">
        <v>111</v>
      </c>
      <c r="G356">
        <v>41</v>
      </c>
      <c r="H356">
        <v>8387.1</v>
      </c>
      <c r="I356" s="25">
        <v>0.1</v>
      </c>
      <c r="J356" t="s">
        <v>103</v>
      </c>
    </row>
    <row r="357" spans="1:10">
      <c r="A357" s="24">
        <f t="shared" si="7"/>
        <v>40035</v>
      </c>
      <c r="B357" t="s">
        <v>436</v>
      </c>
      <c r="C357" t="s">
        <v>619</v>
      </c>
      <c r="D357">
        <v>39683</v>
      </c>
      <c r="E357" s="24">
        <v>41861</v>
      </c>
      <c r="F357" t="s">
        <v>111</v>
      </c>
      <c r="G357">
        <v>6</v>
      </c>
      <c r="H357">
        <v>126.02</v>
      </c>
      <c r="I357" s="25">
        <v>0.09</v>
      </c>
      <c r="J357" t="s">
        <v>103</v>
      </c>
    </row>
    <row r="358" spans="1:10">
      <c r="A358" s="24">
        <f t="shared" si="7"/>
        <v>40049</v>
      </c>
      <c r="B358" t="s">
        <v>436</v>
      </c>
      <c r="C358" t="s">
        <v>620</v>
      </c>
      <c r="D358">
        <v>39683</v>
      </c>
      <c r="E358" s="24">
        <v>41861</v>
      </c>
      <c r="F358" t="s">
        <v>111</v>
      </c>
      <c r="G358">
        <v>30</v>
      </c>
      <c r="H358">
        <v>68.14</v>
      </c>
      <c r="I358" s="25">
        <v>0</v>
      </c>
      <c r="J358" t="s">
        <v>103</v>
      </c>
    </row>
    <row r="359" spans="1:10">
      <c r="A359" s="24">
        <f t="shared" si="7"/>
        <v>40063</v>
      </c>
      <c r="B359" t="s">
        <v>436</v>
      </c>
      <c r="C359" t="s">
        <v>621</v>
      </c>
      <c r="D359">
        <v>39846</v>
      </c>
      <c r="E359" s="24">
        <v>42062</v>
      </c>
      <c r="F359" t="s">
        <v>125</v>
      </c>
      <c r="G359">
        <v>14</v>
      </c>
      <c r="H359">
        <v>71.47</v>
      </c>
      <c r="I359" s="25">
        <v>0.06</v>
      </c>
      <c r="J359" t="s">
        <v>103</v>
      </c>
    </row>
    <row r="360" spans="1:10">
      <c r="A360" s="24">
        <f t="shared" si="7"/>
        <v>40077</v>
      </c>
      <c r="B360" t="s">
        <v>436</v>
      </c>
      <c r="C360" t="s">
        <v>622</v>
      </c>
      <c r="D360">
        <v>40036</v>
      </c>
      <c r="E360" s="24">
        <v>42528</v>
      </c>
      <c r="F360" t="s">
        <v>106</v>
      </c>
      <c r="G360">
        <v>10</v>
      </c>
      <c r="H360">
        <v>568.33550000000002</v>
      </c>
      <c r="I360" s="25">
        <v>0.02</v>
      </c>
      <c r="J360" t="s">
        <v>103</v>
      </c>
    </row>
    <row r="361" spans="1:10">
      <c r="A361" s="24">
        <f t="shared" si="7"/>
        <v>40091</v>
      </c>
      <c r="B361" t="s">
        <v>436</v>
      </c>
      <c r="C361" t="s">
        <v>623</v>
      </c>
      <c r="D361">
        <v>40067</v>
      </c>
      <c r="E361" s="24">
        <v>42417</v>
      </c>
      <c r="F361" t="s">
        <v>125</v>
      </c>
      <c r="G361">
        <v>38</v>
      </c>
      <c r="H361">
        <v>2157.3085000000001</v>
      </c>
      <c r="I361" s="25">
        <v>0</v>
      </c>
      <c r="J361" t="s">
        <v>103</v>
      </c>
    </row>
    <row r="362" spans="1:10">
      <c r="A362" s="24">
        <f t="shared" si="7"/>
        <v>40105</v>
      </c>
      <c r="B362" t="s">
        <v>436</v>
      </c>
      <c r="C362" t="s">
        <v>624</v>
      </c>
      <c r="D362">
        <v>40132</v>
      </c>
      <c r="E362" s="24">
        <v>42423</v>
      </c>
      <c r="F362" t="s">
        <v>125</v>
      </c>
      <c r="G362">
        <v>26</v>
      </c>
      <c r="H362">
        <v>1363</v>
      </c>
      <c r="I362" s="25">
        <v>0.04</v>
      </c>
      <c r="J362" t="s">
        <v>109</v>
      </c>
    </row>
    <row r="363" spans="1:10">
      <c r="A363" s="24">
        <f t="shared" si="7"/>
        <v>40119</v>
      </c>
      <c r="B363" t="s">
        <v>436</v>
      </c>
      <c r="C363" t="s">
        <v>625</v>
      </c>
      <c r="D363">
        <v>40132</v>
      </c>
      <c r="E363" s="24">
        <v>42423</v>
      </c>
      <c r="F363" t="s">
        <v>125</v>
      </c>
      <c r="G363">
        <v>36</v>
      </c>
      <c r="H363">
        <v>4698.5</v>
      </c>
      <c r="I363" s="25">
        <v>0.04</v>
      </c>
      <c r="J363" t="s">
        <v>109</v>
      </c>
    </row>
    <row r="364" spans="1:10">
      <c r="A364" s="24">
        <f t="shared" si="7"/>
        <v>40133</v>
      </c>
      <c r="B364" t="s">
        <v>436</v>
      </c>
      <c r="C364" t="s">
        <v>626</v>
      </c>
      <c r="D364">
        <v>40132</v>
      </c>
      <c r="E364" s="24">
        <v>42423</v>
      </c>
      <c r="F364" t="s">
        <v>125</v>
      </c>
      <c r="G364">
        <v>16</v>
      </c>
      <c r="H364">
        <v>347.47</v>
      </c>
      <c r="I364" s="25">
        <v>0.09</v>
      </c>
      <c r="J364" t="s">
        <v>103</v>
      </c>
    </row>
    <row r="365" spans="1:10">
      <c r="A365" s="24">
        <f t="shared" si="7"/>
        <v>40147</v>
      </c>
      <c r="B365" t="s">
        <v>436</v>
      </c>
      <c r="C365" t="s">
        <v>627</v>
      </c>
      <c r="D365">
        <v>40160</v>
      </c>
      <c r="E365" s="24">
        <v>42292</v>
      </c>
      <c r="F365" t="s">
        <v>108</v>
      </c>
      <c r="G365">
        <v>23</v>
      </c>
      <c r="H365">
        <v>1404.22</v>
      </c>
      <c r="I365" s="25">
        <v>0.1</v>
      </c>
      <c r="J365" t="s">
        <v>103</v>
      </c>
    </row>
    <row r="366" spans="1:10">
      <c r="A366" s="24">
        <f t="shared" si="7"/>
        <v>40161</v>
      </c>
      <c r="B366" t="s">
        <v>436</v>
      </c>
      <c r="C366" t="s">
        <v>628</v>
      </c>
      <c r="D366">
        <v>40518</v>
      </c>
      <c r="E366" s="24">
        <v>42076</v>
      </c>
      <c r="F366" t="s">
        <v>108</v>
      </c>
      <c r="G366">
        <v>3</v>
      </c>
      <c r="H366">
        <v>17.52</v>
      </c>
      <c r="I366" s="25">
        <v>0.05</v>
      </c>
      <c r="J366" t="s">
        <v>103</v>
      </c>
    </row>
    <row r="367" spans="1:10">
      <c r="A367" s="24">
        <f t="shared" si="7"/>
        <v>40175</v>
      </c>
      <c r="B367" t="s">
        <v>436</v>
      </c>
      <c r="C367" t="s">
        <v>629</v>
      </c>
      <c r="D367">
        <v>40804</v>
      </c>
      <c r="E367" s="24">
        <v>42441</v>
      </c>
      <c r="F367" t="s">
        <v>102</v>
      </c>
      <c r="G367">
        <v>36</v>
      </c>
      <c r="H367">
        <v>4273.8</v>
      </c>
      <c r="I367" s="25">
        <v>0.06</v>
      </c>
      <c r="J367" t="s">
        <v>109</v>
      </c>
    </row>
    <row r="368" spans="1:10">
      <c r="A368" s="24">
        <f t="shared" si="7"/>
        <v>40189</v>
      </c>
      <c r="B368" t="s">
        <v>436</v>
      </c>
      <c r="C368" t="s">
        <v>630</v>
      </c>
      <c r="D368">
        <v>40902</v>
      </c>
      <c r="E368" s="24">
        <v>42192</v>
      </c>
      <c r="F368" t="s">
        <v>125</v>
      </c>
      <c r="G368">
        <v>25</v>
      </c>
      <c r="H368">
        <v>192.18</v>
      </c>
      <c r="I368" s="25">
        <v>0.02</v>
      </c>
      <c r="J368" t="s">
        <v>103</v>
      </c>
    </row>
    <row r="369" spans="1:10">
      <c r="A369" s="24">
        <f t="shared" si="7"/>
        <v>40203</v>
      </c>
      <c r="B369" t="s">
        <v>436</v>
      </c>
      <c r="C369" t="s">
        <v>631</v>
      </c>
      <c r="D369">
        <v>41063</v>
      </c>
      <c r="E369" s="24">
        <v>42695</v>
      </c>
      <c r="F369" t="s">
        <v>125</v>
      </c>
      <c r="G369">
        <v>22</v>
      </c>
      <c r="H369">
        <v>483.96</v>
      </c>
      <c r="I369" s="25">
        <v>0.01</v>
      </c>
      <c r="J369" t="s">
        <v>103</v>
      </c>
    </row>
    <row r="370" spans="1:10">
      <c r="A370" s="24">
        <f t="shared" si="7"/>
        <v>40217</v>
      </c>
      <c r="B370" t="s">
        <v>436</v>
      </c>
      <c r="C370" t="s">
        <v>632</v>
      </c>
      <c r="D370">
        <v>41063</v>
      </c>
      <c r="E370" s="24">
        <v>42695</v>
      </c>
      <c r="F370" t="s">
        <v>125</v>
      </c>
      <c r="G370">
        <v>10</v>
      </c>
      <c r="H370">
        <v>308.36299999999994</v>
      </c>
      <c r="I370" s="25">
        <v>0.04</v>
      </c>
      <c r="J370" t="s">
        <v>103</v>
      </c>
    </row>
    <row r="371" spans="1:10">
      <c r="A371" s="24">
        <f t="shared" si="7"/>
        <v>40231</v>
      </c>
      <c r="B371" t="s">
        <v>436</v>
      </c>
      <c r="C371" t="s">
        <v>633</v>
      </c>
      <c r="D371">
        <v>41063</v>
      </c>
      <c r="E371" s="24">
        <v>42695</v>
      </c>
      <c r="F371" t="s">
        <v>125</v>
      </c>
      <c r="G371">
        <v>26</v>
      </c>
      <c r="H371">
        <v>1911.4034999999999</v>
      </c>
      <c r="I371" s="25">
        <v>0.06</v>
      </c>
      <c r="J371" t="s">
        <v>103</v>
      </c>
    </row>
    <row r="372" spans="1:10">
      <c r="A372" s="24">
        <f t="shared" si="7"/>
        <v>40245</v>
      </c>
      <c r="B372" t="s">
        <v>436</v>
      </c>
      <c r="C372" t="s">
        <v>634</v>
      </c>
      <c r="D372">
        <v>41153</v>
      </c>
      <c r="E372" s="24">
        <v>42065</v>
      </c>
      <c r="F372" t="s">
        <v>102</v>
      </c>
      <c r="G372">
        <v>29</v>
      </c>
      <c r="H372">
        <v>862.2</v>
      </c>
      <c r="I372" s="25">
        <v>0.1</v>
      </c>
      <c r="J372" t="s">
        <v>103</v>
      </c>
    </row>
    <row r="373" spans="1:10">
      <c r="A373" s="24">
        <f t="shared" si="7"/>
        <v>40259</v>
      </c>
      <c r="B373" t="s">
        <v>436</v>
      </c>
      <c r="C373" t="s">
        <v>635</v>
      </c>
      <c r="D373">
        <v>41184</v>
      </c>
      <c r="E373" s="24">
        <v>41904</v>
      </c>
      <c r="F373" t="s">
        <v>111</v>
      </c>
      <c r="G373">
        <v>7</v>
      </c>
      <c r="H373">
        <v>120.03</v>
      </c>
      <c r="I373" s="25">
        <v>0.02</v>
      </c>
      <c r="J373" t="s">
        <v>103</v>
      </c>
    </row>
    <row r="374" spans="1:10">
      <c r="A374" s="24">
        <f t="shared" si="7"/>
        <v>40273</v>
      </c>
      <c r="B374" t="s">
        <v>436</v>
      </c>
      <c r="C374" t="s">
        <v>636</v>
      </c>
      <c r="D374">
        <v>41409</v>
      </c>
      <c r="E374" s="24">
        <v>41841</v>
      </c>
      <c r="F374" t="s">
        <v>106</v>
      </c>
      <c r="G374">
        <v>1</v>
      </c>
      <c r="H374">
        <v>18.920000000000002</v>
      </c>
      <c r="I374" s="25">
        <v>0</v>
      </c>
      <c r="J374" t="s">
        <v>103</v>
      </c>
    </row>
    <row r="375" spans="1:10">
      <c r="A375" s="24">
        <f t="shared" si="7"/>
        <v>40287</v>
      </c>
      <c r="B375" t="s">
        <v>436</v>
      </c>
      <c r="C375" t="s">
        <v>637</v>
      </c>
      <c r="D375">
        <v>41696</v>
      </c>
      <c r="E375" s="24">
        <v>42198</v>
      </c>
      <c r="F375" t="s">
        <v>106</v>
      </c>
      <c r="G375">
        <v>45</v>
      </c>
      <c r="H375">
        <v>237.28</v>
      </c>
      <c r="I375" s="25">
        <v>0.03</v>
      </c>
      <c r="J375" t="s">
        <v>120</v>
      </c>
    </row>
    <row r="376" spans="1:10">
      <c r="A376" s="24">
        <f t="shared" si="7"/>
        <v>40301</v>
      </c>
      <c r="B376" t="s">
        <v>436</v>
      </c>
      <c r="C376" t="s">
        <v>638</v>
      </c>
      <c r="D376">
        <v>42209</v>
      </c>
      <c r="E376" s="24">
        <v>42458</v>
      </c>
      <c r="F376" t="s">
        <v>111</v>
      </c>
      <c r="G376">
        <v>5</v>
      </c>
      <c r="H376">
        <v>324.55</v>
      </c>
      <c r="I376" s="25">
        <v>0.08</v>
      </c>
      <c r="J376" t="s">
        <v>103</v>
      </c>
    </row>
    <row r="377" spans="1:10">
      <c r="A377" s="24">
        <f t="shared" si="7"/>
        <v>40315</v>
      </c>
      <c r="B377" t="s">
        <v>436</v>
      </c>
      <c r="C377" t="s">
        <v>639</v>
      </c>
      <c r="D377">
        <v>42209</v>
      </c>
      <c r="E377" s="24">
        <v>42458</v>
      </c>
      <c r="F377" t="s">
        <v>111</v>
      </c>
      <c r="G377">
        <v>31</v>
      </c>
      <c r="H377">
        <v>8901.7800000000007</v>
      </c>
      <c r="I377" s="25">
        <v>0.04</v>
      </c>
      <c r="J377" t="s">
        <v>103</v>
      </c>
    </row>
    <row r="378" spans="1:10">
      <c r="A378" s="24">
        <f t="shared" si="7"/>
        <v>40329</v>
      </c>
      <c r="B378" t="s">
        <v>436</v>
      </c>
      <c r="C378" t="s">
        <v>640</v>
      </c>
      <c r="D378">
        <v>42561</v>
      </c>
      <c r="E378" s="24">
        <v>42406</v>
      </c>
      <c r="F378" t="s">
        <v>125</v>
      </c>
      <c r="G378">
        <v>15</v>
      </c>
      <c r="H378">
        <v>1062.9589999999998</v>
      </c>
      <c r="I378" s="25">
        <v>7.0000000000000007E-2</v>
      </c>
      <c r="J378" t="s">
        <v>120</v>
      </c>
    </row>
    <row r="379" spans="1:10">
      <c r="A379" s="24">
        <f t="shared" si="7"/>
        <v>40343</v>
      </c>
      <c r="B379" t="s">
        <v>436</v>
      </c>
      <c r="C379" t="s">
        <v>641</v>
      </c>
      <c r="D379">
        <v>42564</v>
      </c>
      <c r="E379" s="24">
        <v>42625</v>
      </c>
      <c r="F379" t="s">
        <v>125</v>
      </c>
      <c r="G379">
        <v>35</v>
      </c>
      <c r="H379">
        <v>7468.86</v>
      </c>
      <c r="I379" s="25">
        <v>0.02</v>
      </c>
      <c r="J379" t="s">
        <v>109</v>
      </c>
    </row>
    <row r="380" spans="1:10">
      <c r="A380" s="24">
        <f t="shared" si="7"/>
        <v>40357</v>
      </c>
      <c r="B380" t="s">
        <v>436</v>
      </c>
      <c r="C380" t="s">
        <v>642</v>
      </c>
      <c r="D380">
        <v>42695</v>
      </c>
      <c r="E380" s="24">
        <v>42726</v>
      </c>
      <c r="F380" t="s">
        <v>106</v>
      </c>
      <c r="G380">
        <v>12</v>
      </c>
      <c r="H380">
        <v>710.32799999999997</v>
      </c>
      <c r="I380" s="25">
        <v>0.02</v>
      </c>
      <c r="J380" t="s">
        <v>103</v>
      </c>
    </row>
    <row r="381" spans="1:10">
      <c r="A381" s="24">
        <f t="shared" si="7"/>
        <v>40371</v>
      </c>
      <c r="B381" t="s">
        <v>436</v>
      </c>
      <c r="C381" t="s">
        <v>643</v>
      </c>
      <c r="D381">
        <v>42981</v>
      </c>
      <c r="E381" s="24">
        <v>42154</v>
      </c>
      <c r="F381" t="s">
        <v>108</v>
      </c>
      <c r="G381">
        <v>4</v>
      </c>
      <c r="H381">
        <v>3510.82</v>
      </c>
      <c r="I381" s="25">
        <v>0.05</v>
      </c>
      <c r="J381" t="s">
        <v>103</v>
      </c>
    </row>
    <row r="382" spans="1:10">
      <c r="A382" s="24">
        <f t="shared" si="7"/>
        <v>40385</v>
      </c>
      <c r="B382" t="s">
        <v>436</v>
      </c>
      <c r="C382" t="s">
        <v>644</v>
      </c>
      <c r="D382">
        <v>43109</v>
      </c>
      <c r="E382" s="24">
        <v>42725</v>
      </c>
      <c r="F382" t="s">
        <v>108</v>
      </c>
      <c r="G382">
        <v>19</v>
      </c>
      <c r="H382">
        <v>281.83999999999997</v>
      </c>
      <c r="I382" s="25">
        <v>0.06</v>
      </c>
      <c r="J382" t="s">
        <v>103</v>
      </c>
    </row>
    <row r="383" spans="1:10">
      <c r="A383" s="24">
        <f t="shared" si="7"/>
        <v>40399</v>
      </c>
      <c r="B383" t="s">
        <v>436</v>
      </c>
      <c r="C383" t="s">
        <v>645</v>
      </c>
      <c r="D383">
        <v>43109</v>
      </c>
      <c r="E383" s="24">
        <v>42725</v>
      </c>
      <c r="F383" t="s">
        <v>108</v>
      </c>
      <c r="G383">
        <v>25</v>
      </c>
      <c r="H383">
        <v>509.52</v>
      </c>
      <c r="I383" s="25">
        <v>0.05</v>
      </c>
      <c r="J383" t="s">
        <v>103</v>
      </c>
    </row>
    <row r="384" spans="1:10">
      <c r="A384" s="24">
        <f t="shared" si="7"/>
        <v>40413</v>
      </c>
      <c r="B384" t="s">
        <v>436</v>
      </c>
      <c r="C384" t="s">
        <v>646</v>
      </c>
      <c r="D384">
        <v>43109</v>
      </c>
      <c r="E384" s="24">
        <v>42725</v>
      </c>
      <c r="F384" t="s">
        <v>108</v>
      </c>
      <c r="G384">
        <v>10</v>
      </c>
      <c r="H384">
        <v>97.02</v>
      </c>
      <c r="I384" s="25">
        <v>0.06</v>
      </c>
      <c r="J384" t="s">
        <v>103</v>
      </c>
    </row>
    <row r="385" spans="1:10">
      <c r="A385" s="24">
        <f t="shared" si="7"/>
        <v>40427</v>
      </c>
      <c r="B385" t="s">
        <v>436</v>
      </c>
      <c r="C385" t="s">
        <v>647</v>
      </c>
      <c r="D385">
        <v>43203</v>
      </c>
      <c r="E385" s="24">
        <v>42414</v>
      </c>
      <c r="F385" t="s">
        <v>106</v>
      </c>
      <c r="G385">
        <v>32</v>
      </c>
      <c r="H385">
        <v>225.16</v>
      </c>
      <c r="I385" s="25">
        <v>0.02</v>
      </c>
      <c r="J385" t="s">
        <v>103</v>
      </c>
    </row>
    <row r="386" spans="1:10">
      <c r="A386" s="24">
        <f t="shared" si="7"/>
        <v>40441</v>
      </c>
      <c r="B386" t="s">
        <v>436</v>
      </c>
      <c r="C386" t="s">
        <v>648</v>
      </c>
      <c r="D386">
        <v>43236</v>
      </c>
      <c r="E386" s="24">
        <v>42554</v>
      </c>
      <c r="F386" t="s">
        <v>106</v>
      </c>
      <c r="G386">
        <v>20</v>
      </c>
      <c r="H386">
        <v>205.33</v>
      </c>
      <c r="I386" s="25">
        <v>0</v>
      </c>
      <c r="J386" t="s">
        <v>103</v>
      </c>
    </row>
    <row r="387" spans="1:10">
      <c r="A387" s="24">
        <f t="shared" si="7"/>
        <v>40455</v>
      </c>
      <c r="B387" t="s">
        <v>436</v>
      </c>
      <c r="C387" t="s">
        <v>649</v>
      </c>
      <c r="D387">
        <v>43267</v>
      </c>
      <c r="E387" s="24">
        <v>41775</v>
      </c>
      <c r="F387" t="s">
        <v>108</v>
      </c>
      <c r="G387">
        <v>17</v>
      </c>
      <c r="H387">
        <v>1368.14</v>
      </c>
      <c r="I387" s="25">
        <v>0.05</v>
      </c>
      <c r="J387" t="s">
        <v>120</v>
      </c>
    </row>
    <row r="388" spans="1:10">
      <c r="A388" s="24">
        <f t="shared" ref="A388:A451" si="8">EDATE(A387, 0) + 14</f>
        <v>40469</v>
      </c>
      <c r="B388" t="s">
        <v>436</v>
      </c>
      <c r="C388" t="s">
        <v>650</v>
      </c>
      <c r="D388">
        <v>43329</v>
      </c>
      <c r="E388" s="24">
        <v>42436</v>
      </c>
      <c r="F388" t="s">
        <v>102</v>
      </c>
      <c r="G388">
        <v>42</v>
      </c>
      <c r="H388">
        <v>2475.83</v>
      </c>
      <c r="I388" s="25">
        <v>0.09</v>
      </c>
      <c r="J388" t="s">
        <v>103</v>
      </c>
    </row>
    <row r="389" spans="1:10">
      <c r="A389" s="24">
        <f t="shared" si="8"/>
        <v>40483</v>
      </c>
      <c r="B389" t="s">
        <v>436</v>
      </c>
      <c r="C389" t="s">
        <v>651</v>
      </c>
      <c r="D389">
        <v>43330</v>
      </c>
      <c r="E389" s="24">
        <v>42121</v>
      </c>
      <c r="F389" t="s">
        <v>106</v>
      </c>
      <c r="G389">
        <v>40</v>
      </c>
      <c r="H389">
        <v>2205.7584999999999</v>
      </c>
      <c r="I389" s="25">
        <v>0.03</v>
      </c>
      <c r="J389" t="s">
        <v>103</v>
      </c>
    </row>
    <row r="390" spans="1:10">
      <c r="A390" s="24">
        <f t="shared" si="8"/>
        <v>40497</v>
      </c>
      <c r="B390" t="s">
        <v>436</v>
      </c>
      <c r="C390" t="s">
        <v>652</v>
      </c>
      <c r="D390">
        <v>43364</v>
      </c>
      <c r="E390" s="24">
        <v>42467</v>
      </c>
      <c r="F390" t="s">
        <v>111</v>
      </c>
      <c r="G390">
        <v>21</v>
      </c>
      <c r="H390">
        <v>524.20000000000005</v>
      </c>
      <c r="I390" s="25">
        <v>0.04</v>
      </c>
      <c r="J390" t="s">
        <v>103</v>
      </c>
    </row>
    <row r="391" spans="1:10">
      <c r="A391" s="24">
        <f t="shared" si="8"/>
        <v>40511</v>
      </c>
      <c r="B391" t="s">
        <v>436</v>
      </c>
      <c r="C391" t="s">
        <v>653</v>
      </c>
      <c r="D391">
        <v>43392</v>
      </c>
      <c r="E391" s="24">
        <v>42735</v>
      </c>
      <c r="F391" t="s">
        <v>102</v>
      </c>
      <c r="G391">
        <v>39</v>
      </c>
      <c r="H391">
        <v>6553.45</v>
      </c>
      <c r="I391" s="25">
        <v>0.03</v>
      </c>
      <c r="J391" t="s">
        <v>103</v>
      </c>
    </row>
    <row r="392" spans="1:10">
      <c r="A392" s="24">
        <f t="shared" si="8"/>
        <v>40525</v>
      </c>
      <c r="B392" t="s">
        <v>436</v>
      </c>
      <c r="C392" t="s">
        <v>654</v>
      </c>
      <c r="D392">
        <v>43781</v>
      </c>
      <c r="E392" s="24">
        <v>42402</v>
      </c>
      <c r="F392" t="s">
        <v>106</v>
      </c>
      <c r="G392">
        <v>45</v>
      </c>
      <c r="H392">
        <v>497.14</v>
      </c>
      <c r="I392" s="25">
        <v>0.05</v>
      </c>
      <c r="J392" t="s">
        <v>103</v>
      </c>
    </row>
    <row r="393" spans="1:10">
      <c r="A393" s="24">
        <f t="shared" si="8"/>
        <v>40539</v>
      </c>
      <c r="B393" t="s">
        <v>436</v>
      </c>
      <c r="C393" t="s">
        <v>655</v>
      </c>
      <c r="D393">
        <v>43781</v>
      </c>
      <c r="E393" s="24">
        <v>42402</v>
      </c>
      <c r="F393" t="s">
        <v>106</v>
      </c>
      <c r="G393">
        <v>21</v>
      </c>
      <c r="H393">
        <v>917.39</v>
      </c>
      <c r="I393" s="25">
        <v>0.02</v>
      </c>
      <c r="J393" t="s">
        <v>120</v>
      </c>
    </row>
    <row r="394" spans="1:10">
      <c r="A394" s="24">
        <f t="shared" si="8"/>
        <v>40553</v>
      </c>
      <c r="B394" t="s">
        <v>436</v>
      </c>
      <c r="C394" t="s">
        <v>656</v>
      </c>
      <c r="D394">
        <v>44071</v>
      </c>
      <c r="E394" s="24">
        <v>42475</v>
      </c>
      <c r="F394" t="s">
        <v>106</v>
      </c>
      <c r="G394">
        <v>19</v>
      </c>
      <c r="H394">
        <v>110.67</v>
      </c>
      <c r="I394" s="25">
        <v>0.08</v>
      </c>
      <c r="J394" t="s">
        <v>103</v>
      </c>
    </row>
    <row r="395" spans="1:10">
      <c r="A395" s="24">
        <f t="shared" si="8"/>
        <v>40567</v>
      </c>
      <c r="B395" t="s">
        <v>436</v>
      </c>
      <c r="C395" t="s">
        <v>657</v>
      </c>
      <c r="D395">
        <v>44071</v>
      </c>
      <c r="E395" s="24">
        <v>42475</v>
      </c>
      <c r="F395" t="s">
        <v>106</v>
      </c>
      <c r="G395">
        <v>20</v>
      </c>
      <c r="H395">
        <v>1163.123</v>
      </c>
      <c r="I395" s="25">
        <v>0</v>
      </c>
      <c r="J395" t="s">
        <v>103</v>
      </c>
    </row>
    <row r="396" spans="1:10">
      <c r="A396" s="24">
        <f t="shared" si="8"/>
        <v>40581</v>
      </c>
      <c r="B396" t="s">
        <v>436</v>
      </c>
      <c r="C396" t="s">
        <v>658</v>
      </c>
      <c r="D396">
        <v>44519</v>
      </c>
      <c r="E396" s="24">
        <v>42509</v>
      </c>
      <c r="F396" t="s">
        <v>111</v>
      </c>
      <c r="G396">
        <v>48</v>
      </c>
      <c r="H396">
        <v>224.58</v>
      </c>
      <c r="I396" s="25">
        <v>0.03</v>
      </c>
      <c r="J396" t="s">
        <v>103</v>
      </c>
    </row>
    <row r="397" spans="1:10">
      <c r="A397" s="24">
        <f t="shared" si="8"/>
        <v>40595</v>
      </c>
      <c r="B397" t="s">
        <v>436</v>
      </c>
      <c r="C397" t="s">
        <v>659</v>
      </c>
      <c r="D397">
        <v>44519</v>
      </c>
      <c r="E397" s="24">
        <v>42509</v>
      </c>
      <c r="F397" t="s">
        <v>111</v>
      </c>
      <c r="G397">
        <v>34</v>
      </c>
      <c r="H397">
        <v>365.77</v>
      </c>
      <c r="I397" s="25">
        <v>7.0000000000000007E-2</v>
      </c>
      <c r="J397" t="s">
        <v>103</v>
      </c>
    </row>
    <row r="398" spans="1:10">
      <c r="A398" s="24">
        <f t="shared" si="8"/>
        <v>40609</v>
      </c>
      <c r="B398" t="s">
        <v>436</v>
      </c>
      <c r="C398" t="s">
        <v>660</v>
      </c>
      <c r="D398">
        <v>44519</v>
      </c>
      <c r="E398" s="24">
        <v>42509</v>
      </c>
      <c r="F398" t="s">
        <v>111</v>
      </c>
      <c r="G398">
        <v>34</v>
      </c>
      <c r="H398">
        <v>16073.03</v>
      </c>
      <c r="I398" s="25">
        <v>0.01</v>
      </c>
      <c r="J398" t="s">
        <v>109</v>
      </c>
    </row>
    <row r="399" spans="1:10">
      <c r="A399" s="24">
        <f t="shared" si="8"/>
        <v>40623</v>
      </c>
      <c r="B399" t="s">
        <v>436</v>
      </c>
      <c r="C399" t="s">
        <v>661</v>
      </c>
      <c r="D399">
        <v>44708</v>
      </c>
      <c r="E399" s="24">
        <v>42212</v>
      </c>
      <c r="F399" t="s">
        <v>106</v>
      </c>
      <c r="G399">
        <v>15</v>
      </c>
      <c r="H399">
        <v>30.68</v>
      </c>
      <c r="I399" s="25">
        <v>0.02</v>
      </c>
      <c r="J399" t="s">
        <v>103</v>
      </c>
    </row>
    <row r="400" spans="1:10">
      <c r="A400" s="24">
        <f t="shared" si="8"/>
        <v>40637</v>
      </c>
      <c r="B400" t="s">
        <v>436</v>
      </c>
      <c r="C400" t="s">
        <v>662</v>
      </c>
      <c r="D400">
        <v>44772</v>
      </c>
      <c r="E400" s="24">
        <v>42094</v>
      </c>
      <c r="F400" t="s">
        <v>106</v>
      </c>
      <c r="G400">
        <v>1</v>
      </c>
      <c r="H400">
        <v>54.076999999999998</v>
      </c>
      <c r="I400" s="25">
        <v>7.0000000000000007E-2</v>
      </c>
      <c r="J400" t="s">
        <v>120</v>
      </c>
    </row>
    <row r="401" spans="1:10">
      <c r="A401" s="24">
        <f t="shared" si="8"/>
        <v>40651</v>
      </c>
      <c r="B401" t="s">
        <v>436</v>
      </c>
      <c r="C401" t="s">
        <v>663</v>
      </c>
      <c r="D401">
        <v>44839</v>
      </c>
      <c r="E401" s="24">
        <v>42532</v>
      </c>
      <c r="F401" t="s">
        <v>108</v>
      </c>
      <c r="G401">
        <v>27</v>
      </c>
      <c r="H401">
        <v>899.97</v>
      </c>
      <c r="I401" s="25">
        <v>0.09</v>
      </c>
      <c r="J401" t="s">
        <v>120</v>
      </c>
    </row>
    <row r="402" spans="1:10">
      <c r="A402" s="24">
        <f t="shared" si="8"/>
        <v>40665</v>
      </c>
      <c r="B402" t="s">
        <v>436</v>
      </c>
      <c r="C402" t="s">
        <v>664</v>
      </c>
      <c r="D402">
        <v>45217</v>
      </c>
      <c r="E402" s="24">
        <v>42614</v>
      </c>
      <c r="F402" t="s">
        <v>106</v>
      </c>
      <c r="G402">
        <v>40</v>
      </c>
      <c r="H402">
        <v>6789.9274999999998</v>
      </c>
      <c r="I402" s="25">
        <v>0.08</v>
      </c>
      <c r="J402" t="s">
        <v>103</v>
      </c>
    </row>
    <row r="403" spans="1:10">
      <c r="A403" s="24">
        <f t="shared" si="8"/>
        <v>40679</v>
      </c>
      <c r="B403" t="s">
        <v>436</v>
      </c>
      <c r="C403" t="s">
        <v>665</v>
      </c>
      <c r="D403">
        <v>45440</v>
      </c>
      <c r="E403" s="24">
        <v>42591</v>
      </c>
      <c r="F403" t="s">
        <v>108</v>
      </c>
      <c r="G403">
        <v>5</v>
      </c>
      <c r="H403">
        <v>748.29</v>
      </c>
      <c r="I403" s="25">
        <v>0.02</v>
      </c>
      <c r="J403" t="s">
        <v>109</v>
      </c>
    </row>
    <row r="404" spans="1:10">
      <c r="A404" s="24">
        <f t="shared" si="8"/>
        <v>40693</v>
      </c>
      <c r="B404" t="s">
        <v>436</v>
      </c>
      <c r="C404" t="s">
        <v>666</v>
      </c>
      <c r="D404">
        <v>45766</v>
      </c>
      <c r="E404" s="24">
        <v>42497</v>
      </c>
      <c r="F404" t="s">
        <v>111</v>
      </c>
      <c r="G404">
        <v>37</v>
      </c>
      <c r="H404">
        <v>2522.21</v>
      </c>
      <c r="I404" s="25">
        <v>0</v>
      </c>
      <c r="J404" t="s">
        <v>103</v>
      </c>
    </row>
    <row r="405" spans="1:10">
      <c r="A405" s="24">
        <f t="shared" si="8"/>
        <v>40707</v>
      </c>
      <c r="B405" t="s">
        <v>436</v>
      </c>
      <c r="C405" t="s">
        <v>667</v>
      </c>
      <c r="D405">
        <v>45766</v>
      </c>
      <c r="E405" s="24">
        <v>42497</v>
      </c>
      <c r="F405" t="s">
        <v>111</v>
      </c>
      <c r="G405">
        <v>28</v>
      </c>
      <c r="H405">
        <v>4181.82</v>
      </c>
      <c r="I405" s="25">
        <v>0.01</v>
      </c>
      <c r="J405" t="s">
        <v>103</v>
      </c>
    </row>
    <row r="406" spans="1:10">
      <c r="A406" s="24">
        <f t="shared" si="8"/>
        <v>40721</v>
      </c>
      <c r="B406" t="s">
        <v>436</v>
      </c>
      <c r="C406" t="s">
        <v>668</v>
      </c>
      <c r="D406">
        <v>45861</v>
      </c>
      <c r="E406" s="24">
        <v>41876</v>
      </c>
      <c r="F406" t="s">
        <v>102</v>
      </c>
      <c r="G406">
        <v>39</v>
      </c>
      <c r="H406">
        <v>680.85849999999994</v>
      </c>
      <c r="I406" s="25">
        <v>0.05</v>
      </c>
      <c r="J406" t="s">
        <v>103</v>
      </c>
    </row>
    <row r="407" spans="1:10">
      <c r="A407" s="24">
        <f t="shared" si="8"/>
        <v>40735</v>
      </c>
      <c r="B407" t="s">
        <v>436</v>
      </c>
      <c r="C407" t="s">
        <v>669</v>
      </c>
      <c r="D407">
        <v>45957</v>
      </c>
      <c r="E407" s="24">
        <v>42634</v>
      </c>
      <c r="F407" t="s">
        <v>108</v>
      </c>
      <c r="G407">
        <v>20</v>
      </c>
      <c r="H407">
        <v>759.84</v>
      </c>
      <c r="I407" s="25">
        <v>0.06</v>
      </c>
      <c r="J407" t="s">
        <v>103</v>
      </c>
    </row>
    <row r="408" spans="1:10">
      <c r="A408" s="24">
        <f t="shared" si="8"/>
        <v>40749</v>
      </c>
      <c r="B408" t="s">
        <v>436</v>
      </c>
      <c r="C408" t="s">
        <v>670</v>
      </c>
      <c r="D408">
        <v>45957</v>
      </c>
      <c r="E408" s="24">
        <v>42634</v>
      </c>
      <c r="F408" t="s">
        <v>108</v>
      </c>
      <c r="G408">
        <v>19</v>
      </c>
      <c r="H408">
        <v>147.38999999999999</v>
      </c>
      <c r="I408" s="25">
        <v>0.08</v>
      </c>
      <c r="J408" t="s">
        <v>103</v>
      </c>
    </row>
    <row r="409" spans="1:10">
      <c r="A409" s="24">
        <f t="shared" si="8"/>
        <v>40763</v>
      </c>
      <c r="B409" t="s">
        <v>436</v>
      </c>
      <c r="C409" t="s">
        <v>671</v>
      </c>
      <c r="D409">
        <v>46912</v>
      </c>
      <c r="E409" s="24">
        <v>42551</v>
      </c>
      <c r="F409" t="s">
        <v>125</v>
      </c>
      <c r="G409">
        <v>5</v>
      </c>
      <c r="H409">
        <v>294</v>
      </c>
      <c r="I409" s="25">
        <v>0</v>
      </c>
      <c r="J409" t="s">
        <v>103</v>
      </c>
    </row>
    <row r="410" spans="1:10">
      <c r="A410" s="24">
        <f t="shared" si="8"/>
        <v>40777</v>
      </c>
      <c r="B410" t="s">
        <v>436</v>
      </c>
      <c r="C410" t="s">
        <v>437</v>
      </c>
      <c r="D410">
        <v>46980</v>
      </c>
      <c r="E410" s="24">
        <v>41656</v>
      </c>
      <c r="F410" t="s">
        <v>108</v>
      </c>
      <c r="G410">
        <v>34</v>
      </c>
      <c r="H410">
        <v>216.3</v>
      </c>
      <c r="I410" s="25">
        <v>0.01</v>
      </c>
      <c r="J410" t="s">
        <v>103</v>
      </c>
    </row>
    <row r="411" spans="1:10">
      <c r="A411" s="24">
        <f t="shared" si="8"/>
        <v>40791</v>
      </c>
      <c r="B411" t="s">
        <v>436</v>
      </c>
      <c r="C411" t="s">
        <v>438</v>
      </c>
      <c r="D411">
        <v>47460</v>
      </c>
      <c r="E411" s="24">
        <v>42653</v>
      </c>
      <c r="F411" t="s">
        <v>108</v>
      </c>
      <c r="G411">
        <v>12</v>
      </c>
      <c r="H411">
        <v>31.6</v>
      </c>
      <c r="I411" s="25">
        <v>0.1</v>
      </c>
      <c r="J411" t="s">
        <v>103</v>
      </c>
    </row>
    <row r="412" spans="1:10">
      <c r="A412" s="24">
        <f t="shared" si="8"/>
        <v>40805</v>
      </c>
      <c r="B412" t="s">
        <v>436</v>
      </c>
      <c r="C412" t="s">
        <v>439</v>
      </c>
      <c r="D412">
        <v>47462</v>
      </c>
      <c r="E412" s="24">
        <v>41799</v>
      </c>
      <c r="F412" t="s">
        <v>111</v>
      </c>
      <c r="G412">
        <v>43</v>
      </c>
      <c r="H412">
        <v>154.18</v>
      </c>
      <c r="I412" s="25">
        <v>0.08</v>
      </c>
      <c r="J412" t="s">
        <v>103</v>
      </c>
    </row>
    <row r="413" spans="1:10">
      <c r="A413" s="24">
        <f t="shared" si="8"/>
        <v>40819</v>
      </c>
      <c r="B413" t="s">
        <v>436</v>
      </c>
      <c r="C413" t="s">
        <v>440</v>
      </c>
      <c r="D413">
        <v>47462</v>
      </c>
      <c r="E413" s="24">
        <v>41799</v>
      </c>
      <c r="F413" t="s">
        <v>111</v>
      </c>
      <c r="G413">
        <v>18</v>
      </c>
      <c r="H413">
        <v>110.31</v>
      </c>
      <c r="I413" s="25">
        <v>0.05</v>
      </c>
      <c r="J413" t="s">
        <v>103</v>
      </c>
    </row>
    <row r="414" spans="1:10">
      <c r="A414" s="24">
        <f t="shared" si="8"/>
        <v>40833</v>
      </c>
      <c r="B414" t="s">
        <v>436</v>
      </c>
      <c r="C414" t="s">
        <v>441</v>
      </c>
      <c r="D414">
        <v>47462</v>
      </c>
      <c r="E414" s="24">
        <v>41799</v>
      </c>
      <c r="F414" t="s">
        <v>111</v>
      </c>
      <c r="G414">
        <v>41</v>
      </c>
      <c r="H414">
        <v>137.51</v>
      </c>
      <c r="I414" s="25">
        <v>0.02</v>
      </c>
      <c r="J414" t="s">
        <v>103</v>
      </c>
    </row>
    <row r="415" spans="1:10">
      <c r="A415" s="24">
        <f t="shared" si="8"/>
        <v>40847</v>
      </c>
      <c r="B415" t="s">
        <v>436</v>
      </c>
      <c r="C415" t="s">
        <v>672</v>
      </c>
      <c r="D415">
        <v>47620</v>
      </c>
      <c r="E415" s="24">
        <v>42547</v>
      </c>
      <c r="F415" t="s">
        <v>125</v>
      </c>
      <c r="G415">
        <v>27</v>
      </c>
      <c r="H415">
        <v>302.2</v>
      </c>
      <c r="I415" s="25">
        <v>0.04</v>
      </c>
      <c r="J415" t="s">
        <v>103</v>
      </c>
    </row>
    <row r="416" spans="1:10">
      <c r="A416" s="24">
        <f t="shared" si="8"/>
        <v>40861</v>
      </c>
      <c r="B416" t="s">
        <v>436</v>
      </c>
      <c r="C416" t="s">
        <v>442</v>
      </c>
      <c r="D416">
        <v>47749</v>
      </c>
      <c r="E416" s="24">
        <v>42445</v>
      </c>
      <c r="F416" t="s">
        <v>102</v>
      </c>
      <c r="G416">
        <v>46</v>
      </c>
      <c r="H416">
        <v>399.58</v>
      </c>
      <c r="I416" s="25">
        <v>0.04</v>
      </c>
      <c r="J416" t="s">
        <v>103</v>
      </c>
    </row>
    <row r="417" spans="1:10">
      <c r="A417" s="24">
        <f t="shared" si="8"/>
        <v>40875</v>
      </c>
      <c r="B417" t="s">
        <v>436</v>
      </c>
      <c r="C417" t="s">
        <v>673</v>
      </c>
      <c r="D417">
        <v>47873</v>
      </c>
      <c r="E417" s="24">
        <v>42687</v>
      </c>
      <c r="F417" t="s">
        <v>108</v>
      </c>
      <c r="G417">
        <v>8</v>
      </c>
      <c r="H417">
        <v>52.39</v>
      </c>
      <c r="I417" s="25">
        <v>0.08</v>
      </c>
      <c r="J417" t="s">
        <v>103</v>
      </c>
    </row>
    <row r="418" spans="1:10">
      <c r="A418" s="24">
        <f t="shared" si="8"/>
        <v>40889</v>
      </c>
      <c r="B418" t="s">
        <v>436</v>
      </c>
      <c r="C418" t="s">
        <v>443</v>
      </c>
      <c r="D418">
        <v>47943</v>
      </c>
      <c r="E418" s="24">
        <v>42322</v>
      </c>
      <c r="F418" t="s">
        <v>102</v>
      </c>
      <c r="G418">
        <v>12</v>
      </c>
      <c r="H418">
        <v>61.09</v>
      </c>
      <c r="I418" s="25">
        <v>0.04</v>
      </c>
      <c r="J418" t="s">
        <v>103</v>
      </c>
    </row>
    <row r="419" spans="1:10">
      <c r="A419" s="24">
        <f t="shared" si="8"/>
        <v>40903</v>
      </c>
      <c r="B419" t="s">
        <v>436</v>
      </c>
      <c r="C419" t="s">
        <v>674</v>
      </c>
      <c r="D419">
        <v>47943</v>
      </c>
      <c r="E419" s="24">
        <v>42322</v>
      </c>
      <c r="F419" t="s">
        <v>102</v>
      </c>
      <c r="G419">
        <v>48</v>
      </c>
      <c r="H419">
        <v>777.76</v>
      </c>
      <c r="I419" s="25">
        <v>0.02</v>
      </c>
      <c r="J419" t="s">
        <v>103</v>
      </c>
    </row>
    <row r="420" spans="1:10">
      <c r="A420" s="24">
        <f t="shared" si="8"/>
        <v>40917</v>
      </c>
      <c r="B420" t="s">
        <v>444</v>
      </c>
      <c r="C420" t="s">
        <v>445</v>
      </c>
      <c r="D420">
        <v>48101</v>
      </c>
      <c r="E420" s="24">
        <v>41894</v>
      </c>
      <c r="F420" t="s">
        <v>111</v>
      </c>
      <c r="G420">
        <v>4</v>
      </c>
      <c r="H420">
        <v>108.87</v>
      </c>
      <c r="I420" s="25">
        <v>0.05</v>
      </c>
      <c r="J420" t="s">
        <v>103</v>
      </c>
    </row>
    <row r="421" spans="1:10">
      <c r="A421" s="24">
        <f t="shared" si="8"/>
        <v>40931</v>
      </c>
      <c r="B421" t="s">
        <v>444</v>
      </c>
      <c r="C421" t="s">
        <v>446</v>
      </c>
      <c r="D421">
        <v>48295</v>
      </c>
      <c r="E421" s="24">
        <v>42331</v>
      </c>
      <c r="F421" t="s">
        <v>102</v>
      </c>
      <c r="G421">
        <v>48</v>
      </c>
      <c r="H421">
        <v>10051.52</v>
      </c>
      <c r="I421" s="25">
        <v>0.05</v>
      </c>
      <c r="J421" t="s">
        <v>103</v>
      </c>
    </row>
    <row r="422" spans="1:10">
      <c r="A422" s="24">
        <f t="shared" si="8"/>
        <v>40945</v>
      </c>
      <c r="B422" t="s">
        <v>444</v>
      </c>
      <c r="C422" t="s">
        <v>447</v>
      </c>
      <c r="D422">
        <v>48839</v>
      </c>
      <c r="E422" s="24">
        <v>42561</v>
      </c>
      <c r="F422" t="s">
        <v>108</v>
      </c>
      <c r="G422">
        <v>1</v>
      </c>
      <c r="H422">
        <v>97.13</v>
      </c>
      <c r="I422" s="25">
        <v>0.05</v>
      </c>
      <c r="J422" t="s">
        <v>103</v>
      </c>
    </row>
    <row r="423" spans="1:10">
      <c r="A423" s="24">
        <f t="shared" si="8"/>
        <v>40959</v>
      </c>
      <c r="B423" t="s">
        <v>444</v>
      </c>
      <c r="C423" t="s">
        <v>448</v>
      </c>
      <c r="D423">
        <v>49154</v>
      </c>
      <c r="E423" s="24">
        <v>42069</v>
      </c>
      <c r="F423" t="s">
        <v>102</v>
      </c>
      <c r="G423">
        <v>26</v>
      </c>
      <c r="H423">
        <v>1523.5</v>
      </c>
      <c r="I423" s="25">
        <v>7.0000000000000007E-2</v>
      </c>
      <c r="J423" t="s">
        <v>103</v>
      </c>
    </row>
    <row r="424" spans="1:10">
      <c r="A424" s="24">
        <f t="shared" si="8"/>
        <v>40973</v>
      </c>
      <c r="B424" t="s">
        <v>444</v>
      </c>
      <c r="C424" t="s">
        <v>449</v>
      </c>
      <c r="D424">
        <v>49921</v>
      </c>
      <c r="E424" s="24">
        <v>41687</v>
      </c>
      <c r="F424" t="s">
        <v>125</v>
      </c>
      <c r="G424">
        <v>5</v>
      </c>
      <c r="H424">
        <v>756.15</v>
      </c>
      <c r="I424" s="25">
        <v>0.06</v>
      </c>
      <c r="J424" t="s">
        <v>109</v>
      </c>
    </row>
    <row r="425" spans="1:10">
      <c r="A425" s="24">
        <f t="shared" si="8"/>
        <v>40987</v>
      </c>
      <c r="B425" t="s">
        <v>444</v>
      </c>
      <c r="C425" t="s">
        <v>450</v>
      </c>
      <c r="D425">
        <v>49921</v>
      </c>
      <c r="E425" s="24">
        <v>41687</v>
      </c>
      <c r="F425" t="s">
        <v>125</v>
      </c>
      <c r="G425">
        <v>1</v>
      </c>
      <c r="H425">
        <v>18.149999999999999</v>
      </c>
      <c r="I425" s="25">
        <v>0.04</v>
      </c>
      <c r="J425" t="s">
        <v>103</v>
      </c>
    </row>
    <row r="426" spans="1:10">
      <c r="A426" s="24">
        <f t="shared" si="8"/>
        <v>41001</v>
      </c>
      <c r="B426" t="s">
        <v>444</v>
      </c>
      <c r="C426" t="s">
        <v>451</v>
      </c>
      <c r="D426">
        <v>49952</v>
      </c>
      <c r="E426" s="24">
        <v>41962</v>
      </c>
      <c r="F426" t="s">
        <v>111</v>
      </c>
      <c r="G426">
        <v>12</v>
      </c>
      <c r="H426">
        <v>1323.67</v>
      </c>
      <c r="I426" s="25">
        <v>0.04</v>
      </c>
      <c r="J426" t="s">
        <v>120</v>
      </c>
    </row>
    <row r="427" spans="1:10">
      <c r="A427" s="24">
        <f t="shared" si="8"/>
        <v>41015</v>
      </c>
      <c r="B427" t="s">
        <v>444</v>
      </c>
      <c r="C427" t="s">
        <v>452</v>
      </c>
      <c r="D427">
        <v>50117</v>
      </c>
      <c r="E427" s="24">
        <v>41793</v>
      </c>
      <c r="F427" t="s">
        <v>108</v>
      </c>
      <c r="G427">
        <v>17</v>
      </c>
      <c r="H427">
        <v>47.44</v>
      </c>
      <c r="I427" s="25">
        <v>0.09</v>
      </c>
      <c r="J427" t="s">
        <v>103</v>
      </c>
    </row>
    <row r="428" spans="1:10">
      <c r="A428" s="24">
        <f t="shared" si="8"/>
        <v>41029</v>
      </c>
      <c r="B428" t="s">
        <v>444</v>
      </c>
      <c r="C428" t="s">
        <v>453</v>
      </c>
      <c r="D428">
        <v>50278</v>
      </c>
      <c r="E428" s="24">
        <v>42515</v>
      </c>
      <c r="F428" t="s">
        <v>111</v>
      </c>
      <c r="G428">
        <v>2</v>
      </c>
      <c r="H428">
        <v>51.21</v>
      </c>
      <c r="I428" s="25">
        <v>0</v>
      </c>
      <c r="J428" t="s">
        <v>103</v>
      </c>
    </row>
    <row r="429" spans="1:10">
      <c r="A429" s="24">
        <f t="shared" si="8"/>
        <v>41043</v>
      </c>
      <c r="B429" t="s">
        <v>444</v>
      </c>
      <c r="C429" t="s">
        <v>454</v>
      </c>
      <c r="D429">
        <v>50278</v>
      </c>
      <c r="E429" s="24">
        <v>42515</v>
      </c>
      <c r="F429" t="s">
        <v>111</v>
      </c>
      <c r="G429">
        <v>20</v>
      </c>
      <c r="H429">
        <v>2195.5500000000002</v>
      </c>
      <c r="I429" s="25">
        <v>0.01</v>
      </c>
      <c r="J429" t="s">
        <v>109</v>
      </c>
    </row>
    <row r="430" spans="1:10">
      <c r="A430" s="24">
        <f t="shared" si="8"/>
        <v>41057</v>
      </c>
      <c r="B430" t="s">
        <v>444</v>
      </c>
      <c r="C430" t="s">
        <v>455</v>
      </c>
      <c r="D430">
        <v>50374</v>
      </c>
      <c r="E430" s="24">
        <v>42154</v>
      </c>
      <c r="F430" t="s">
        <v>106</v>
      </c>
      <c r="G430">
        <v>30</v>
      </c>
      <c r="H430">
        <v>3482.41</v>
      </c>
      <c r="I430" s="25">
        <v>0.05</v>
      </c>
      <c r="J430" t="s">
        <v>103</v>
      </c>
    </row>
    <row r="431" spans="1:10">
      <c r="A431" s="24">
        <f t="shared" si="8"/>
        <v>41071</v>
      </c>
      <c r="B431" t="s">
        <v>444</v>
      </c>
      <c r="C431" t="s">
        <v>456</v>
      </c>
      <c r="D431">
        <v>50565</v>
      </c>
      <c r="E431" s="24">
        <v>42612</v>
      </c>
      <c r="F431" t="s">
        <v>111</v>
      </c>
      <c r="G431">
        <v>43</v>
      </c>
      <c r="H431">
        <v>683.46</v>
      </c>
      <c r="I431" s="25">
        <v>0.09</v>
      </c>
      <c r="J431" t="s">
        <v>103</v>
      </c>
    </row>
    <row r="432" spans="1:10">
      <c r="A432" s="24">
        <f t="shared" si="8"/>
        <v>41085</v>
      </c>
      <c r="B432" t="s">
        <v>457</v>
      </c>
      <c r="C432" t="s">
        <v>458</v>
      </c>
      <c r="D432">
        <v>50688</v>
      </c>
      <c r="E432" s="24">
        <v>41989</v>
      </c>
      <c r="F432" t="s">
        <v>108</v>
      </c>
      <c r="G432">
        <v>50</v>
      </c>
      <c r="H432">
        <v>600.22</v>
      </c>
      <c r="I432" s="25">
        <v>0.08</v>
      </c>
      <c r="J432" t="s">
        <v>103</v>
      </c>
    </row>
    <row r="433" spans="1:10">
      <c r="A433" s="24">
        <f t="shared" si="8"/>
        <v>41099</v>
      </c>
      <c r="B433" t="s">
        <v>457</v>
      </c>
      <c r="C433" t="s">
        <v>459</v>
      </c>
      <c r="D433">
        <v>50754</v>
      </c>
      <c r="E433" s="24">
        <v>42347</v>
      </c>
      <c r="F433" t="s">
        <v>106</v>
      </c>
      <c r="G433">
        <v>9</v>
      </c>
      <c r="H433">
        <v>64.030500000000004</v>
      </c>
      <c r="I433" s="25">
        <v>0.06</v>
      </c>
      <c r="J433" t="s">
        <v>103</v>
      </c>
    </row>
    <row r="434" spans="1:10">
      <c r="A434" s="24">
        <f t="shared" si="8"/>
        <v>41113</v>
      </c>
      <c r="B434" t="s">
        <v>457</v>
      </c>
      <c r="C434" t="s">
        <v>460</v>
      </c>
      <c r="D434">
        <v>50914</v>
      </c>
      <c r="E434" s="24">
        <v>42554</v>
      </c>
      <c r="F434" t="s">
        <v>108</v>
      </c>
      <c r="G434">
        <v>49</v>
      </c>
      <c r="H434">
        <v>8551.5439999999999</v>
      </c>
      <c r="I434" s="25">
        <v>0.03</v>
      </c>
      <c r="J434" t="s">
        <v>103</v>
      </c>
    </row>
    <row r="435" spans="1:10">
      <c r="A435" s="24">
        <f t="shared" si="8"/>
        <v>41127</v>
      </c>
      <c r="B435" t="s">
        <v>457</v>
      </c>
      <c r="C435" t="s">
        <v>461</v>
      </c>
      <c r="D435">
        <v>51169</v>
      </c>
      <c r="E435" s="24">
        <v>42728</v>
      </c>
      <c r="F435" t="s">
        <v>111</v>
      </c>
      <c r="G435">
        <v>2</v>
      </c>
      <c r="H435">
        <v>291.66000000000003</v>
      </c>
      <c r="I435" s="25">
        <v>0.08</v>
      </c>
      <c r="J435" t="s">
        <v>103</v>
      </c>
    </row>
    <row r="436" spans="1:10">
      <c r="A436" s="24">
        <f t="shared" si="8"/>
        <v>41141</v>
      </c>
      <c r="B436" t="s">
        <v>457</v>
      </c>
      <c r="C436" t="s">
        <v>462</v>
      </c>
      <c r="D436">
        <v>51938</v>
      </c>
      <c r="E436" s="24">
        <v>41776</v>
      </c>
      <c r="F436" t="s">
        <v>125</v>
      </c>
      <c r="G436">
        <v>5</v>
      </c>
      <c r="H436">
        <v>503.32749999999999</v>
      </c>
      <c r="I436" s="25">
        <v>0.06</v>
      </c>
      <c r="J436" t="s">
        <v>103</v>
      </c>
    </row>
    <row r="437" spans="1:10">
      <c r="A437" s="24">
        <f t="shared" si="8"/>
        <v>41155</v>
      </c>
      <c r="B437" t="s">
        <v>457</v>
      </c>
      <c r="C437" t="s">
        <v>463</v>
      </c>
      <c r="D437">
        <v>51970</v>
      </c>
      <c r="E437" s="24">
        <v>42380</v>
      </c>
      <c r="F437" t="s">
        <v>106</v>
      </c>
      <c r="G437">
        <v>1</v>
      </c>
      <c r="H437">
        <v>171.71</v>
      </c>
      <c r="I437" s="25">
        <v>0.06</v>
      </c>
      <c r="J437" t="s">
        <v>109</v>
      </c>
    </row>
    <row r="438" spans="1:10">
      <c r="A438" s="24">
        <f t="shared" si="8"/>
        <v>41169</v>
      </c>
      <c r="B438" t="s">
        <v>457</v>
      </c>
      <c r="C438" t="s">
        <v>464</v>
      </c>
      <c r="D438">
        <v>51971</v>
      </c>
      <c r="E438" s="24">
        <v>41915</v>
      </c>
      <c r="F438" t="s">
        <v>106</v>
      </c>
      <c r="G438">
        <v>39</v>
      </c>
      <c r="H438">
        <v>1326.04</v>
      </c>
      <c r="I438" s="25">
        <v>0.02</v>
      </c>
      <c r="J438" t="s">
        <v>103</v>
      </c>
    </row>
    <row r="439" spans="1:10">
      <c r="A439" s="24">
        <f t="shared" si="8"/>
        <v>41183</v>
      </c>
      <c r="B439" t="s">
        <v>457</v>
      </c>
      <c r="C439" t="s">
        <v>465</v>
      </c>
      <c r="D439">
        <v>51971</v>
      </c>
      <c r="E439" s="24">
        <v>41915</v>
      </c>
      <c r="F439" t="s">
        <v>106</v>
      </c>
      <c r="G439">
        <v>22</v>
      </c>
      <c r="H439">
        <v>3881.89</v>
      </c>
      <c r="I439" s="25">
        <v>0.06</v>
      </c>
      <c r="J439" t="s">
        <v>103</v>
      </c>
    </row>
    <row r="440" spans="1:10">
      <c r="A440" s="24">
        <f t="shared" si="8"/>
        <v>41197</v>
      </c>
      <c r="B440" t="s">
        <v>457</v>
      </c>
      <c r="C440" t="s">
        <v>466</v>
      </c>
      <c r="D440">
        <v>52193</v>
      </c>
      <c r="E440" s="24">
        <v>42434</v>
      </c>
      <c r="F440" t="s">
        <v>106</v>
      </c>
      <c r="G440">
        <v>1</v>
      </c>
      <c r="H440">
        <v>17.89</v>
      </c>
      <c r="I440" s="25">
        <v>0.04</v>
      </c>
      <c r="J440" t="s">
        <v>120</v>
      </c>
    </row>
    <row r="441" spans="1:10">
      <c r="A441" s="24">
        <f t="shared" si="8"/>
        <v>41211</v>
      </c>
      <c r="B441" t="s">
        <v>457</v>
      </c>
      <c r="C441" t="s">
        <v>467</v>
      </c>
      <c r="D441">
        <v>52193</v>
      </c>
      <c r="E441" s="24">
        <v>42434</v>
      </c>
      <c r="F441" t="s">
        <v>106</v>
      </c>
      <c r="G441">
        <v>47</v>
      </c>
      <c r="H441">
        <v>137.18</v>
      </c>
      <c r="I441" s="25">
        <v>7.0000000000000007E-2</v>
      </c>
      <c r="J441" t="s">
        <v>103</v>
      </c>
    </row>
    <row r="442" spans="1:10">
      <c r="A442" s="24">
        <f t="shared" si="8"/>
        <v>41225</v>
      </c>
      <c r="B442" t="s">
        <v>457</v>
      </c>
      <c r="C442" t="s">
        <v>468</v>
      </c>
      <c r="D442">
        <v>52321</v>
      </c>
      <c r="E442" s="24">
        <v>41948</v>
      </c>
      <c r="F442" t="s">
        <v>111</v>
      </c>
      <c r="G442">
        <v>48</v>
      </c>
      <c r="H442">
        <v>617.26</v>
      </c>
      <c r="I442" s="25">
        <v>0.04</v>
      </c>
      <c r="J442" t="s">
        <v>103</v>
      </c>
    </row>
    <row r="443" spans="1:10">
      <c r="A443" s="24">
        <f t="shared" si="8"/>
        <v>41239</v>
      </c>
      <c r="B443" t="s">
        <v>469</v>
      </c>
      <c r="C443" t="s">
        <v>470</v>
      </c>
      <c r="D443">
        <v>52321</v>
      </c>
      <c r="E443" s="24">
        <v>41948</v>
      </c>
      <c r="F443" t="s">
        <v>111</v>
      </c>
      <c r="G443">
        <v>45</v>
      </c>
      <c r="H443">
        <v>13104.992</v>
      </c>
      <c r="I443" s="25">
        <v>0.03</v>
      </c>
      <c r="J443" t="s">
        <v>109</v>
      </c>
    </row>
    <row r="444" spans="1:10">
      <c r="A444" s="24">
        <f t="shared" si="8"/>
        <v>41253</v>
      </c>
      <c r="B444" t="s">
        <v>469</v>
      </c>
      <c r="C444" t="s">
        <v>471</v>
      </c>
      <c r="D444">
        <v>52386</v>
      </c>
      <c r="E444" s="24">
        <v>42009</v>
      </c>
      <c r="F444" t="s">
        <v>111</v>
      </c>
      <c r="G444">
        <v>6</v>
      </c>
      <c r="H444">
        <v>700.73</v>
      </c>
      <c r="I444" s="25">
        <v>0.08</v>
      </c>
      <c r="J444" t="s">
        <v>109</v>
      </c>
    </row>
    <row r="445" spans="1:10">
      <c r="A445" s="24">
        <f t="shared" si="8"/>
        <v>41267</v>
      </c>
      <c r="B445" t="s">
        <v>469</v>
      </c>
      <c r="C445" t="s">
        <v>472</v>
      </c>
      <c r="D445">
        <v>52807</v>
      </c>
      <c r="E445" s="24">
        <v>42699</v>
      </c>
      <c r="F445" t="s">
        <v>102</v>
      </c>
      <c r="G445">
        <v>28</v>
      </c>
      <c r="H445">
        <v>667.55</v>
      </c>
      <c r="I445" s="25">
        <v>0</v>
      </c>
      <c r="J445" t="s">
        <v>103</v>
      </c>
    </row>
    <row r="446" spans="1:10">
      <c r="A446" s="24">
        <f t="shared" si="8"/>
        <v>41281</v>
      </c>
      <c r="B446" t="s">
        <v>469</v>
      </c>
      <c r="C446" t="s">
        <v>473</v>
      </c>
      <c r="D446">
        <v>52929</v>
      </c>
      <c r="E446" s="24">
        <v>41737</v>
      </c>
      <c r="F446" t="s">
        <v>111</v>
      </c>
      <c r="G446">
        <v>43</v>
      </c>
      <c r="H446">
        <v>701.46</v>
      </c>
      <c r="I446" s="25">
        <v>0.04</v>
      </c>
      <c r="J446" t="s">
        <v>120</v>
      </c>
    </row>
    <row r="447" spans="1:10">
      <c r="A447" s="24">
        <f t="shared" si="8"/>
        <v>41295</v>
      </c>
      <c r="B447" t="s">
        <v>469</v>
      </c>
      <c r="C447" t="s">
        <v>474</v>
      </c>
      <c r="D447">
        <v>52929</v>
      </c>
      <c r="E447" s="24">
        <v>41737</v>
      </c>
      <c r="F447" t="s">
        <v>111</v>
      </c>
      <c r="G447">
        <v>19</v>
      </c>
      <c r="H447">
        <v>53.94</v>
      </c>
      <c r="I447" s="25">
        <v>0.05</v>
      </c>
      <c r="J447" t="s">
        <v>103</v>
      </c>
    </row>
    <row r="448" spans="1:10">
      <c r="A448" s="24">
        <f t="shared" si="8"/>
        <v>41309</v>
      </c>
      <c r="B448" t="s">
        <v>469</v>
      </c>
      <c r="C448" t="s">
        <v>475</v>
      </c>
      <c r="D448">
        <v>52929</v>
      </c>
      <c r="E448" s="24">
        <v>41737</v>
      </c>
      <c r="F448" t="s">
        <v>111</v>
      </c>
      <c r="G448">
        <v>7</v>
      </c>
      <c r="H448">
        <v>46.94</v>
      </c>
      <c r="I448" s="25">
        <v>0.02</v>
      </c>
      <c r="J448" t="s">
        <v>103</v>
      </c>
    </row>
    <row r="449" spans="1:10">
      <c r="A449" s="24">
        <f t="shared" si="8"/>
        <v>41323</v>
      </c>
      <c r="B449" t="s">
        <v>469</v>
      </c>
      <c r="C449" t="s">
        <v>476</v>
      </c>
      <c r="D449">
        <v>52929</v>
      </c>
      <c r="E449" s="24">
        <v>41737</v>
      </c>
      <c r="F449" t="s">
        <v>111</v>
      </c>
      <c r="G449">
        <v>20</v>
      </c>
      <c r="H449">
        <v>77.989999999999995</v>
      </c>
      <c r="I449" s="25">
        <v>0.03</v>
      </c>
      <c r="J449" t="s">
        <v>103</v>
      </c>
    </row>
    <row r="450" spans="1:10">
      <c r="A450" s="24">
        <f t="shared" si="8"/>
        <v>41337</v>
      </c>
      <c r="B450" t="s">
        <v>477</v>
      </c>
      <c r="C450" t="s">
        <v>478</v>
      </c>
      <c r="D450">
        <v>52964</v>
      </c>
      <c r="E450" s="24">
        <v>42460</v>
      </c>
      <c r="F450" t="s">
        <v>108</v>
      </c>
      <c r="G450">
        <v>44</v>
      </c>
      <c r="H450">
        <v>5735.79</v>
      </c>
      <c r="I450" s="25">
        <v>0.08</v>
      </c>
      <c r="J450" t="s">
        <v>103</v>
      </c>
    </row>
    <row r="451" spans="1:10">
      <c r="A451" s="24">
        <f t="shared" si="8"/>
        <v>41351</v>
      </c>
      <c r="B451" t="s">
        <v>477</v>
      </c>
      <c r="C451" t="s">
        <v>479</v>
      </c>
      <c r="D451">
        <v>53156</v>
      </c>
      <c r="E451" s="24">
        <v>42439</v>
      </c>
      <c r="F451" t="s">
        <v>106</v>
      </c>
      <c r="G451">
        <v>47</v>
      </c>
      <c r="H451">
        <v>186.93</v>
      </c>
      <c r="I451" s="25">
        <v>7.0000000000000007E-2</v>
      </c>
      <c r="J451" t="s">
        <v>103</v>
      </c>
    </row>
    <row r="452" spans="1:10">
      <c r="A452" s="24">
        <f t="shared" ref="A452:A515" si="9">EDATE(A451, 0) + 14</f>
        <v>41365</v>
      </c>
      <c r="B452" t="s">
        <v>477</v>
      </c>
      <c r="C452" t="s">
        <v>480</v>
      </c>
      <c r="D452">
        <v>53511</v>
      </c>
      <c r="E452" s="24">
        <v>42055</v>
      </c>
      <c r="F452" t="s">
        <v>102</v>
      </c>
      <c r="G452">
        <v>41</v>
      </c>
      <c r="H452">
        <v>241.1</v>
      </c>
      <c r="I452" s="25">
        <v>7.0000000000000007E-2</v>
      </c>
      <c r="J452" t="s">
        <v>103</v>
      </c>
    </row>
    <row r="453" spans="1:10">
      <c r="A453" s="24">
        <f t="shared" si="9"/>
        <v>41379</v>
      </c>
      <c r="B453" t="s">
        <v>477</v>
      </c>
      <c r="C453" t="s">
        <v>481</v>
      </c>
      <c r="D453">
        <v>53511</v>
      </c>
      <c r="E453" s="24">
        <v>42055</v>
      </c>
      <c r="F453" t="s">
        <v>102</v>
      </c>
      <c r="G453">
        <v>49</v>
      </c>
      <c r="H453">
        <v>491.93</v>
      </c>
      <c r="I453" s="25">
        <v>0.04</v>
      </c>
      <c r="J453" t="s">
        <v>103</v>
      </c>
    </row>
    <row r="454" spans="1:10">
      <c r="A454" s="24">
        <f t="shared" si="9"/>
        <v>41393</v>
      </c>
      <c r="B454" t="s">
        <v>477</v>
      </c>
      <c r="C454" t="s">
        <v>482</v>
      </c>
      <c r="D454">
        <v>53797</v>
      </c>
      <c r="E454" s="24">
        <v>42278</v>
      </c>
      <c r="F454" t="s">
        <v>108</v>
      </c>
      <c r="G454">
        <v>10</v>
      </c>
      <c r="H454">
        <v>623.71</v>
      </c>
      <c r="I454" s="25">
        <v>0.01</v>
      </c>
      <c r="J454" t="s">
        <v>109</v>
      </c>
    </row>
    <row r="455" spans="1:10">
      <c r="A455" s="24">
        <f t="shared" si="9"/>
        <v>41407</v>
      </c>
      <c r="B455" t="s">
        <v>477</v>
      </c>
      <c r="C455" t="s">
        <v>483</v>
      </c>
      <c r="D455">
        <v>53990</v>
      </c>
      <c r="E455" s="24">
        <v>42675</v>
      </c>
      <c r="F455" t="s">
        <v>106</v>
      </c>
      <c r="G455">
        <v>44</v>
      </c>
      <c r="H455">
        <v>4263.9315000000006</v>
      </c>
      <c r="I455" s="25">
        <v>0.04</v>
      </c>
      <c r="J455" t="s">
        <v>103</v>
      </c>
    </row>
    <row r="456" spans="1:10">
      <c r="A456" s="24">
        <f t="shared" si="9"/>
        <v>41421</v>
      </c>
      <c r="B456" t="s">
        <v>477</v>
      </c>
      <c r="C456" t="s">
        <v>484</v>
      </c>
      <c r="D456">
        <v>54083</v>
      </c>
      <c r="E456" s="24">
        <v>41841</v>
      </c>
      <c r="F456" t="s">
        <v>111</v>
      </c>
      <c r="G456">
        <v>10</v>
      </c>
      <c r="H456">
        <v>2700.41</v>
      </c>
      <c r="I456" s="25">
        <v>0.08</v>
      </c>
      <c r="J456" t="s">
        <v>109</v>
      </c>
    </row>
    <row r="457" spans="1:10">
      <c r="A457" s="24">
        <f t="shared" si="9"/>
        <v>41435</v>
      </c>
      <c r="B457" t="s">
        <v>477</v>
      </c>
      <c r="C457" t="s">
        <v>485</v>
      </c>
      <c r="D457">
        <v>54274</v>
      </c>
      <c r="E457" s="24">
        <v>42697</v>
      </c>
      <c r="F457" t="s">
        <v>106</v>
      </c>
      <c r="G457">
        <v>20</v>
      </c>
      <c r="H457">
        <v>1583.06</v>
      </c>
      <c r="I457" s="25">
        <v>0.05</v>
      </c>
      <c r="J457" t="s">
        <v>103</v>
      </c>
    </row>
    <row r="458" spans="1:10">
      <c r="A458" s="24">
        <f t="shared" si="9"/>
        <v>41449</v>
      </c>
      <c r="B458" t="s">
        <v>477</v>
      </c>
      <c r="C458" t="s">
        <v>486</v>
      </c>
      <c r="D458">
        <v>54276</v>
      </c>
      <c r="E458" s="24">
        <v>42406</v>
      </c>
      <c r="F458" t="s">
        <v>106</v>
      </c>
      <c r="G458">
        <v>21</v>
      </c>
      <c r="H458">
        <v>756.6</v>
      </c>
      <c r="I458" s="25">
        <v>0</v>
      </c>
      <c r="J458" t="s">
        <v>103</v>
      </c>
    </row>
    <row r="459" spans="1:10">
      <c r="A459" s="24">
        <f t="shared" si="9"/>
        <v>41463</v>
      </c>
      <c r="B459" t="s">
        <v>477</v>
      </c>
      <c r="C459" t="s">
        <v>487</v>
      </c>
      <c r="D459">
        <v>54528</v>
      </c>
      <c r="E459" s="24">
        <v>41643</v>
      </c>
      <c r="F459" t="s">
        <v>102</v>
      </c>
      <c r="G459">
        <v>17</v>
      </c>
      <c r="H459">
        <v>207.19</v>
      </c>
      <c r="I459" s="25">
        <v>0.01</v>
      </c>
      <c r="J459" t="s">
        <v>103</v>
      </c>
    </row>
    <row r="460" spans="1:10">
      <c r="A460" s="24">
        <f t="shared" si="9"/>
        <v>41477</v>
      </c>
      <c r="B460" t="s">
        <v>488</v>
      </c>
      <c r="C460" t="s">
        <v>489</v>
      </c>
      <c r="D460">
        <v>54528</v>
      </c>
      <c r="E460" s="24">
        <v>41643</v>
      </c>
      <c r="F460" t="s">
        <v>102</v>
      </c>
      <c r="G460">
        <v>8</v>
      </c>
      <c r="H460">
        <v>88</v>
      </c>
      <c r="I460" s="25">
        <v>0.06</v>
      </c>
      <c r="J460" t="s">
        <v>103</v>
      </c>
    </row>
    <row r="461" spans="1:10">
      <c r="A461" s="24">
        <f t="shared" si="9"/>
        <v>41491</v>
      </c>
      <c r="B461" t="s">
        <v>488</v>
      </c>
      <c r="C461" t="s">
        <v>490</v>
      </c>
      <c r="D461">
        <v>54567</v>
      </c>
      <c r="E461" s="24">
        <v>42218</v>
      </c>
      <c r="F461" t="s">
        <v>102</v>
      </c>
      <c r="G461">
        <v>31</v>
      </c>
      <c r="H461">
        <v>196.74</v>
      </c>
      <c r="I461" s="25">
        <v>0.09</v>
      </c>
      <c r="J461" t="s">
        <v>103</v>
      </c>
    </row>
    <row r="462" spans="1:10">
      <c r="A462" s="24">
        <f t="shared" si="9"/>
        <v>41505</v>
      </c>
      <c r="B462" t="s">
        <v>488</v>
      </c>
      <c r="C462" t="s">
        <v>491</v>
      </c>
      <c r="D462">
        <v>54628</v>
      </c>
      <c r="E462" s="24">
        <v>42526</v>
      </c>
      <c r="F462" t="s">
        <v>111</v>
      </c>
      <c r="G462">
        <v>21</v>
      </c>
      <c r="H462">
        <v>471.24</v>
      </c>
      <c r="I462" s="25">
        <v>7.0000000000000007E-2</v>
      </c>
      <c r="J462" t="s">
        <v>103</v>
      </c>
    </row>
    <row r="463" spans="1:10">
      <c r="A463" s="24">
        <f t="shared" si="9"/>
        <v>41519</v>
      </c>
      <c r="B463" t="s">
        <v>488</v>
      </c>
      <c r="C463" t="s">
        <v>492</v>
      </c>
      <c r="D463">
        <v>55298</v>
      </c>
      <c r="E463" s="24">
        <v>42218</v>
      </c>
      <c r="F463" t="s">
        <v>108</v>
      </c>
      <c r="G463">
        <v>1</v>
      </c>
      <c r="H463">
        <v>368.66</v>
      </c>
      <c r="I463" s="25">
        <v>0.01</v>
      </c>
      <c r="J463" t="s">
        <v>109</v>
      </c>
    </row>
    <row r="464" spans="1:10">
      <c r="A464" s="24">
        <f t="shared" si="9"/>
        <v>41533</v>
      </c>
      <c r="B464" t="s">
        <v>488</v>
      </c>
      <c r="C464" t="s">
        <v>493</v>
      </c>
      <c r="D464">
        <v>55363</v>
      </c>
      <c r="E464" s="24">
        <v>42732</v>
      </c>
      <c r="F464" t="s">
        <v>111</v>
      </c>
      <c r="G464">
        <v>14</v>
      </c>
      <c r="H464">
        <v>2232.06</v>
      </c>
      <c r="I464" s="25">
        <v>0.03</v>
      </c>
      <c r="J464" t="s">
        <v>103</v>
      </c>
    </row>
    <row r="465" spans="1:10">
      <c r="A465" s="24">
        <f t="shared" si="9"/>
        <v>41547</v>
      </c>
      <c r="B465" t="s">
        <v>488</v>
      </c>
      <c r="C465" t="s">
        <v>494</v>
      </c>
      <c r="D465">
        <v>55366</v>
      </c>
      <c r="E465" s="24">
        <v>42653</v>
      </c>
      <c r="F465" t="s">
        <v>108</v>
      </c>
      <c r="G465">
        <v>7</v>
      </c>
      <c r="H465">
        <v>387.17</v>
      </c>
      <c r="I465" s="25">
        <v>0.1</v>
      </c>
      <c r="J465" t="s">
        <v>103</v>
      </c>
    </row>
    <row r="466" spans="1:10">
      <c r="A466" s="24">
        <f t="shared" si="9"/>
        <v>41561</v>
      </c>
      <c r="B466" t="s">
        <v>488</v>
      </c>
      <c r="C466" t="s">
        <v>495</v>
      </c>
      <c r="D466">
        <v>55715</v>
      </c>
      <c r="E466" s="24">
        <v>41731</v>
      </c>
      <c r="F466" t="s">
        <v>108</v>
      </c>
      <c r="G466">
        <v>28</v>
      </c>
      <c r="H466">
        <v>168.57</v>
      </c>
      <c r="I466" s="25">
        <v>0.02</v>
      </c>
      <c r="J466" t="s">
        <v>120</v>
      </c>
    </row>
    <row r="467" spans="1:10">
      <c r="A467" s="24">
        <f t="shared" si="9"/>
        <v>41575</v>
      </c>
      <c r="B467" t="s">
        <v>488</v>
      </c>
      <c r="C467" t="s">
        <v>496</v>
      </c>
      <c r="D467">
        <v>55875</v>
      </c>
      <c r="E467" s="24">
        <v>42333</v>
      </c>
      <c r="F467" t="s">
        <v>108</v>
      </c>
      <c r="G467">
        <v>50</v>
      </c>
      <c r="H467">
        <v>413.86</v>
      </c>
      <c r="I467" s="25">
        <v>0</v>
      </c>
      <c r="J467" t="s">
        <v>103</v>
      </c>
    </row>
    <row r="468" spans="1:10">
      <c r="A468" s="24">
        <f t="shared" si="9"/>
        <v>41589</v>
      </c>
      <c r="B468" t="s">
        <v>488</v>
      </c>
      <c r="C468" t="s">
        <v>497</v>
      </c>
      <c r="D468">
        <v>55875</v>
      </c>
      <c r="E468" s="24">
        <v>42333</v>
      </c>
      <c r="F468" t="s">
        <v>108</v>
      </c>
      <c r="G468">
        <v>31</v>
      </c>
      <c r="H468">
        <v>178.45</v>
      </c>
      <c r="I468" s="25">
        <v>0.09</v>
      </c>
      <c r="J468" t="s">
        <v>103</v>
      </c>
    </row>
    <row r="469" spans="1:10">
      <c r="A469" s="24">
        <f t="shared" si="9"/>
        <v>41603</v>
      </c>
      <c r="B469" t="s">
        <v>488</v>
      </c>
      <c r="C469" t="s">
        <v>498</v>
      </c>
      <c r="D469">
        <v>56453</v>
      </c>
      <c r="E469" s="24">
        <v>42471</v>
      </c>
      <c r="F469" t="s">
        <v>108</v>
      </c>
      <c r="G469">
        <v>1</v>
      </c>
      <c r="H469">
        <v>2728.65</v>
      </c>
      <c r="I469" s="25">
        <v>0</v>
      </c>
      <c r="J469" t="s">
        <v>109</v>
      </c>
    </row>
    <row r="470" spans="1:10">
      <c r="A470" s="24">
        <f t="shared" si="9"/>
        <v>41617</v>
      </c>
      <c r="B470" t="s">
        <v>488</v>
      </c>
      <c r="C470" t="s">
        <v>499</v>
      </c>
      <c r="D470">
        <v>57127</v>
      </c>
      <c r="E470" s="24">
        <v>42416</v>
      </c>
      <c r="F470" t="s">
        <v>125</v>
      </c>
      <c r="G470">
        <v>13</v>
      </c>
      <c r="H470">
        <v>735.54</v>
      </c>
      <c r="I470" s="25">
        <v>0</v>
      </c>
      <c r="J470" t="s">
        <v>103</v>
      </c>
    </row>
    <row r="471" spans="1:10">
      <c r="A471" s="24">
        <f t="shared" si="9"/>
        <v>41631</v>
      </c>
      <c r="B471" t="s">
        <v>488</v>
      </c>
      <c r="C471" t="s">
        <v>500</v>
      </c>
      <c r="D471">
        <v>57344</v>
      </c>
      <c r="E471" s="24">
        <v>42637</v>
      </c>
      <c r="F471" t="s">
        <v>111</v>
      </c>
      <c r="G471">
        <v>47</v>
      </c>
      <c r="H471">
        <v>1060.0605</v>
      </c>
      <c r="I471" s="25">
        <v>0.1</v>
      </c>
      <c r="J471" t="s">
        <v>103</v>
      </c>
    </row>
    <row r="472" spans="1:10">
      <c r="A472" s="24">
        <f t="shared" si="9"/>
        <v>41645</v>
      </c>
      <c r="B472" t="s">
        <v>488</v>
      </c>
      <c r="C472" t="s">
        <v>501</v>
      </c>
      <c r="D472">
        <v>57509</v>
      </c>
      <c r="E472" s="24">
        <v>42056</v>
      </c>
      <c r="F472" t="s">
        <v>125</v>
      </c>
      <c r="G472">
        <v>39</v>
      </c>
      <c r="H472">
        <v>199.39</v>
      </c>
      <c r="I472" s="25">
        <v>0.1</v>
      </c>
      <c r="J472" t="s">
        <v>120</v>
      </c>
    </row>
    <row r="473" spans="1:10">
      <c r="A473" s="24">
        <f t="shared" si="9"/>
        <v>41659</v>
      </c>
      <c r="B473" t="s">
        <v>488</v>
      </c>
      <c r="C473" t="s">
        <v>502</v>
      </c>
      <c r="D473">
        <v>57509</v>
      </c>
      <c r="E473" s="24">
        <v>42056</v>
      </c>
      <c r="F473" t="s">
        <v>125</v>
      </c>
      <c r="G473">
        <v>11</v>
      </c>
      <c r="H473">
        <v>2770.35</v>
      </c>
      <c r="I473" s="25">
        <v>0.09</v>
      </c>
      <c r="J473" t="s">
        <v>109</v>
      </c>
    </row>
    <row r="474" spans="1:10">
      <c r="A474" s="24">
        <f t="shared" si="9"/>
        <v>41673</v>
      </c>
      <c r="B474" t="s">
        <v>488</v>
      </c>
      <c r="C474" t="s">
        <v>503</v>
      </c>
      <c r="D474">
        <v>57600</v>
      </c>
      <c r="E474" s="24">
        <v>42685</v>
      </c>
      <c r="F474" t="s">
        <v>108</v>
      </c>
      <c r="G474">
        <v>32</v>
      </c>
      <c r="H474">
        <v>1882.12</v>
      </c>
      <c r="I474" s="25">
        <v>0.05</v>
      </c>
      <c r="J474" t="s">
        <v>103</v>
      </c>
    </row>
    <row r="475" spans="1:10">
      <c r="A475" s="24">
        <f t="shared" si="9"/>
        <v>41687</v>
      </c>
      <c r="B475" t="s">
        <v>488</v>
      </c>
      <c r="C475" t="s">
        <v>504</v>
      </c>
      <c r="D475">
        <v>57600</v>
      </c>
      <c r="E475" s="24">
        <v>42685</v>
      </c>
      <c r="F475" t="s">
        <v>108</v>
      </c>
      <c r="G475">
        <v>44</v>
      </c>
      <c r="H475">
        <v>186.94</v>
      </c>
      <c r="I475" s="25">
        <v>0.05</v>
      </c>
      <c r="J475" t="s">
        <v>103</v>
      </c>
    </row>
    <row r="476" spans="1:10">
      <c r="A476" s="24">
        <f t="shared" si="9"/>
        <v>41701</v>
      </c>
      <c r="B476" t="s">
        <v>488</v>
      </c>
      <c r="C476" t="s">
        <v>505</v>
      </c>
      <c r="D476">
        <v>57600</v>
      </c>
      <c r="E476" s="24">
        <v>42685</v>
      </c>
      <c r="F476" t="s">
        <v>108</v>
      </c>
      <c r="G476">
        <v>12</v>
      </c>
      <c r="H476">
        <v>407.2</v>
      </c>
      <c r="I476" s="25">
        <v>0.01</v>
      </c>
      <c r="J476" t="s">
        <v>103</v>
      </c>
    </row>
    <row r="477" spans="1:10">
      <c r="A477" s="24">
        <f t="shared" si="9"/>
        <v>41715</v>
      </c>
      <c r="B477" t="s">
        <v>488</v>
      </c>
      <c r="C477" t="s">
        <v>506</v>
      </c>
      <c r="D477">
        <v>58055</v>
      </c>
      <c r="E477" s="24">
        <v>41939</v>
      </c>
      <c r="F477" t="s">
        <v>108</v>
      </c>
      <c r="G477">
        <v>26</v>
      </c>
      <c r="H477">
        <v>208.6</v>
      </c>
      <c r="I477" s="25">
        <v>0</v>
      </c>
      <c r="J477" t="s">
        <v>103</v>
      </c>
    </row>
    <row r="478" spans="1:10">
      <c r="A478" s="24">
        <f t="shared" si="9"/>
        <v>41729</v>
      </c>
      <c r="B478" t="s">
        <v>488</v>
      </c>
      <c r="C478" t="s">
        <v>507</v>
      </c>
      <c r="D478">
        <v>58144</v>
      </c>
      <c r="E478" s="24">
        <v>42354</v>
      </c>
      <c r="F478" t="s">
        <v>125</v>
      </c>
      <c r="G478">
        <v>29</v>
      </c>
      <c r="H478">
        <v>778.38</v>
      </c>
      <c r="I478" s="25">
        <v>0.01</v>
      </c>
      <c r="J478" t="s">
        <v>103</v>
      </c>
    </row>
    <row r="479" spans="1:10">
      <c r="A479" s="24">
        <f t="shared" si="9"/>
        <v>41743</v>
      </c>
      <c r="B479" t="s">
        <v>488</v>
      </c>
      <c r="C479" t="s">
        <v>508</v>
      </c>
      <c r="D479">
        <v>58150</v>
      </c>
      <c r="E479" s="24">
        <v>42497</v>
      </c>
      <c r="F479" t="s">
        <v>108</v>
      </c>
      <c r="G479">
        <v>24</v>
      </c>
      <c r="H479">
        <v>60.36</v>
      </c>
      <c r="I479" s="25">
        <v>0.03</v>
      </c>
      <c r="J479" t="s">
        <v>103</v>
      </c>
    </row>
    <row r="480" spans="1:10">
      <c r="A480" s="24">
        <f t="shared" si="9"/>
        <v>41757</v>
      </c>
      <c r="B480" t="s">
        <v>488</v>
      </c>
      <c r="C480" t="s">
        <v>509</v>
      </c>
      <c r="D480">
        <v>58340</v>
      </c>
      <c r="E480" s="24">
        <v>41647</v>
      </c>
      <c r="F480" t="s">
        <v>102</v>
      </c>
      <c r="G480">
        <v>36</v>
      </c>
      <c r="H480">
        <v>1936.3</v>
      </c>
      <c r="I480" s="25">
        <v>0.03</v>
      </c>
      <c r="J480" t="s">
        <v>103</v>
      </c>
    </row>
    <row r="481" spans="1:10">
      <c r="A481" s="24">
        <f t="shared" si="9"/>
        <v>41771</v>
      </c>
      <c r="B481" t="s">
        <v>488</v>
      </c>
      <c r="C481" t="s">
        <v>510</v>
      </c>
      <c r="D481">
        <v>58368</v>
      </c>
      <c r="E481" s="24">
        <v>42560</v>
      </c>
      <c r="F481" t="s">
        <v>111</v>
      </c>
      <c r="G481">
        <v>4</v>
      </c>
      <c r="H481">
        <v>14.23</v>
      </c>
      <c r="I481" s="25">
        <v>0</v>
      </c>
      <c r="J481" t="s">
        <v>103</v>
      </c>
    </row>
    <row r="482" spans="1:10">
      <c r="A482" s="24">
        <f t="shared" si="9"/>
        <v>41785</v>
      </c>
      <c r="B482" t="s">
        <v>488</v>
      </c>
      <c r="C482" t="s">
        <v>511</v>
      </c>
      <c r="D482">
        <v>58368</v>
      </c>
      <c r="E482" s="24">
        <v>42560</v>
      </c>
      <c r="F482" t="s">
        <v>111</v>
      </c>
      <c r="G482">
        <v>39</v>
      </c>
      <c r="H482">
        <v>272.07</v>
      </c>
      <c r="I482" s="25">
        <v>0.02</v>
      </c>
      <c r="J482" t="s">
        <v>103</v>
      </c>
    </row>
    <row r="483" spans="1:10">
      <c r="A483" s="24">
        <f t="shared" si="9"/>
        <v>41799</v>
      </c>
      <c r="B483" t="s">
        <v>488</v>
      </c>
      <c r="C483" t="s">
        <v>512</v>
      </c>
      <c r="D483">
        <v>58368</v>
      </c>
      <c r="E483" s="24">
        <v>42560</v>
      </c>
      <c r="F483" t="s">
        <v>111</v>
      </c>
      <c r="G483">
        <v>5</v>
      </c>
      <c r="H483">
        <v>325.43</v>
      </c>
      <c r="I483" s="25">
        <v>0.09</v>
      </c>
      <c r="J483" t="s">
        <v>120</v>
      </c>
    </row>
    <row r="484" spans="1:10">
      <c r="A484" s="24">
        <f t="shared" si="9"/>
        <v>41813</v>
      </c>
      <c r="B484" t="s">
        <v>488</v>
      </c>
      <c r="C484" t="s">
        <v>513</v>
      </c>
      <c r="D484">
        <v>58434</v>
      </c>
      <c r="E484" s="24">
        <v>42072</v>
      </c>
      <c r="F484" t="s">
        <v>111</v>
      </c>
      <c r="G484">
        <v>42</v>
      </c>
      <c r="H484">
        <v>843.53</v>
      </c>
      <c r="I484" s="25">
        <v>0.04</v>
      </c>
      <c r="J484" t="s">
        <v>103</v>
      </c>
    </row>
    <row r="485" spans="1:10">
      <c r="A485" s="24">
        <f t="shared" si="9"/>
        <v>41827</v>
      </c>
      <c r="B485" t="s">
        <v>488</v>
      </c>
      <c r="C485" t="s">
        <v>514</v>
      </c>
      <c r="D485">
        <v>58626</v>
      </c>
      <c r="E485" s="24">
        <v>42003</v>
      </c>
      <c r="F485" t="s">
        <v>111</v>
      </c>
      <c r="G485">
        <v>23</v>
      </c>
      <c r="H485">
        <v>6641.14</v>
      </c>
      <c r="I485" s="25">
        <v>0.05</v>
      </c>
      <c r="J485" t="s">
        <v>109</v>
      </c>
    </row>
    <row r="486" spans="1:10">
      <c r="A486" s="24">
        <f t="shared" si="9"/>
        <v>41841</v>
      </c>
      <c r="B486" t="s">
        <v>488</v>
      </c>
      <c r="C486" t="s">
        <v>515</v>
      </c>
      <c r="D486">
        <v>58626</v>
      </c>
      <c r="E486" s="24">
        <v>42003</v>
      </c>
      <c r="F486" t="s">
        <v>111</v>
      </c>
      <c r="G486">
        <v>21</v>
      </c>
      <c r="H486">
        <v>10469.030000000001</v>
      </c>
      <c r="I486" s="25">
        <v>7.0000000000000007E-2</v>
      </c>
      <c r="J486" t="s">
        <v>109</v>
      </c>
    </row>
    <row r="487" spans="1:10">
      <c r="A487" s="24">
        <f t="shared" si="9"/>
        <v>41855</v>
      </c>
      <c r="B487" t="s">
        <v>488</v>
      </c>
      <c r="C487" t="s">
        <v>516</v>
      </c>
      <c r="D487">
        <v>58626</v>
      </c>
      <c r="E487" s="24">
        <v>42003</v>
      </c>
      <c r="F487" t="s">
        <v>111</v>
      </c>
      <c r="G487">
        <v>18</v>
      </c>
      <c r="H487">
        <v>835.55</v>
      </c>
      <c r="I487" s="25">
        <v>0.04</v>
      </c>
      <c r="J487" t="s">
        <v>103</v>
      </c>
    </row>
    <row r="488" spans="1:10">
      <c r="A488" s="24">
        <f t="shared" si="9"/>
        <v>41869</v>
      </c>
      <c r="B488" t="s">
        <v>488</v>
      </c>
      <c r="C488" t="s">
        <v>517</v>
      </c>
      <c r="D488">
        <v>58688</v>
      </c>
      <c r="E488" s="24">
        <v>42092</v>
      </c>
      <c r="F488" t="s">
        <v>106</v>
      </c>
      <c r="G488">
        <v>18</v>
      </c>
      <c r="H488">
        <v>215.93</v>
      </c>
      <c r="I488" s="25">
        <v>0.08</v>
      </c>
      <c r="J488" t="s">
        <v>103</v>
      </c>
    </row>
    <row r="489" spans="1:10">
      <c r="A489" s="24">
        <f t="shared" si="9"/>
        <v>41883</v>
      </c>
      <c r="B489" t="s">
        <v>488</v>
      </c>
      <c r="C489" t="s">
        <v>518</v>
      </c>
      <c r="D489">
        <v>59045</v>
      </c>
      <c r="E489" s="24">
        <v>41683</v>
      </c>
      <c r="F489" t="s">
        <v>108</v>
      </c>
      <c r="G489">
        <v>30</v>
      </c>
      <c r="H489">
        <v>140.24</v>
      </c>
      <c r="I489" s="25">
        <v>0.05</v>
      </c>
      <c r="J489" t="s">
        <v>103</v>
      </c>
    </row>
    <row r="490" spans="1:10">
      <c r="A490" s="24">
        <f t="shared" si="9"/>
        <v>41897</v>
      </c>
      <c r="B490" t="s">
        <v>488</v>
      </c>
      <c r="C490" t="s">
        <v>519</v>
      </c>
      <c r="D490">
        <v>59047</v>
      </c>
      <c r="E490" s="24">
        <v>41667</v>
      </c>
      <c r="F490" t="s">
        <v>106</v>
      </c>
      <c r="G490">
        <v>10</v>
      </c>
      <c r="H490">
        <v>266.94</v>
      </c>
      <c r="I490" s="25">
        <v>0.09</v>
      </c>
      <c r="J490" t="s">
        <v>103</v>
      </c>
    </row>
    <row r="491" spans="1:10">
      <c r="A491" s="24">
        <f t="shared" si="9"/>
        <v>41911</v>
      </c>
      <c r="B491" t="s">
        <v>488</v>
      </c>
      <c r="C491" t="s">
        <v>520</v>
      </c>
      <c r="D491">
        <v>59047</v>
      </c>
      <c r="E491" s="24">
        <v>41667</v>
      </c>
      <c r="F491" t="s">
        <v>106</v>
      </c>
      <c r="G491">
        <v>26</v>
      </c>
      <c r="H491">
        <v>113.85</v>
      </c>
      <c r="I491" s="25">
        <v>0.06</v>
      </c>
      <c r="J491" t="s">
        <v>103</v>
      </c>
    </row>
    <row r="492" spans="1:10">
      <c r="A492" s="24">
        <f t="shared" si="9"/>
        <v>41925</v>
      </c>
      <c r="B492" t="s">
        <v>488</v>
      </c>
      <c r="C492" t="s">
        <v>521</v>
      </c>
      <c r="D492">
        <v>59202</v>
      </c>
      <c r="E492" s="24">
        <v>42621</v>
      </c>
      <c r="F492" t="s">
        <v>102</v>
      </c>
      <c r="G492">
        <v>7</v>
      </c>
      <c r="H492">
        <v>83.81</v>
      </c>
      <c r="I492" s="25">
        <v>0.09</v>
      </c>
      <c r="J492" t="s">
        <v>103</v>
      </c>
    </row>
    <row r="493" spans="1:10">
      <c r="A493" s="24">
        <f t="shared" si="9"/>
        <v>41939</v>
      </c>
      <c r="B493" t="s">
        <v>488</v>
      </c>
      <c r="C493" t="s">
        <v>522</v>
      </c>
      <c r="D493">
        <v>59202</v>
      </c>
      <c r="E493" s="24">
        <v>42621</v>
      </c>
      <c r="F493" t="s">
        <v>102</v>
      </c>
      <c r="G493">
        <v>36</v>
      </c>
      <c r="H493">
        <v>218.81</v>
      </c>
      <c r="I493" s="25">
        <v>0.03</v>
      </c>
      <c r="J493" t="s">
        <v>103</v>
      </c>
    </row>
    <row r="494" spans="1:10">
      <c r="A494" s="24">
        <f t="shared" si="9"/>
        <v>41953</v>
      </c>
      <c r="B494" t="s">
        <v>488</v>
      </c>
      <c r="C494" t="s">
        <v>523</v>
      </c>
      <c r="D494">
        <v>59207</v>
      </c>
      <c r="E494" s="24">
        <v>42142</v>
      </c>
      <c r="F494" t="s">
        <v>108</v>
      </c>
      <c r="G494">
        <v>42</v>
      </c>
      <c r="H494">
        <v>9502.7360000000008</v>
      </c>
      <c r="I494" s="25">
        <v>0.02</v>
      </c>
      <c r="J494" t="s">
        <v>109</v>
      </c>
    </row>
    <row r="495" spans="1:10">
      <c r="A495" s="24">
        <f t="shared" si="9"/>
        <v>41967</v>
      </c>
      <c r="B495" t="s">
        <v>488</v>
      </c>
      <c r="C495" t="s">
        <v>524</v>
      </c>
      <c r="D495">
        <v>59234</v>
      </c>
      <c r="E495" s="24">
        <v>42580</v>
      </c>
      <c r="F495" t="s">
        <v>125</v>
      </c>
      <c r="G495">
        <v>32</v>
      </c>
      <c r="H495">
        <v>5686.25</v>
      </c>
      <c r="I495" s="25">
        <v>0.04</v>
      </c>
      <c r="J495" t="s">
        <v>103</v>
      </c>
    </row>
    <row r="496" spans="1:10">
      <c r="A496" s="24">
        <f t="shared" si="9"/>
        <v>41981</v>
      </c>
      <c r="B496" t="s">
        <v>488</v>
      </c>
      <c r="C496" t="s">
        <v>525</v>
      </c>
      <c r="D496">
        <v>59234</v>
      </c>
      <c r="E496" s="24">
        <v>42580</v>
      </c>
      <c r="F496" t="s">
        <v>125</v>
      </c>
      <c r="G496">
        <v>16</v>
      </c>
      <c r="H496">
        <v>797.24</v>
      </c>
      <c r="I496" s="25">
        <v>0.04</v>
      </c>
      <c r="J496" t="s">
        <v>109</v>
      </c>
    </row>
    <row r="497" spans="1:10">
      <c r="A497" s="24">
        <f t="shared" si="9"/>
        <v>41995</v>
      </c>
      <c r="B497" t="s">
        <v>488</v>
      </c>
      <c r="C497" t="s">
        <v>526</v>
      </c>
      <c r="D497">
        <v>59395</v>
      </c>
      <c r="E497" s="24">
        <v>42482</v>
      </c>
      <c r="F497" t="s">
        <v>108</v>
      </c>
      <c r="G497">
        <v>20</v>
      </c>
      <c r="H497">
        <v>963.3</v>
      </c>
      <c r="I497" s="25">
        <v>0.06</v>
      </c>
      <c r="J497" t="s">
        <v>120</v>
      </c>
    </row>
    <row r="498" spans="1:10">
      <c r="A498" s="24">
        <f t="shared" si="9"/>
        <v>42009</v>
      </c>
      <c r="B498" t="s">
        <v>488</v>
      </c>
      <c r="C498" t="s">
        <v>527</v>
      </c>
      <c r="D498">
        <v>59558</v>
      </c>
      <c r="E498" s="24">
        <v>42567</v>
      </c>
      <c r="F498" t="s">
        <v>106</v>
      </c>
      <c r="G498">
        <v>34</v>
      </c>
      <c r="H498">
        <v>94.56</v>
      </c>
      <c r="I498" s="25">
        <v>0</v>
      </c>
      <c r="J498" t="s">
        <v>103</v>
      </c>
    </row>
    <row r="499" spans="1:10">
      <c r="A499" s="24">
        <f t="shared" si="9"/>
        <v>42023</v>
      </c>
      <c r="B499" t="s">
        <v>488</v>
      </c>
      <c r="C499" t="s">
        <v>528</v>
      </c>
      <c r="D499">
        <v>59585</v>
      </c>
      <c r="E499" s="24">
        <v>42635</v>
      </c>
      <c r="F499" t="s">
        <v>111</v>
      </c>
      <c r="G499">
        <v>45</v>
      </c>
      <c r="H499">
        <v>712.04</v>
      </c>
      <c r="I499" s="25">
        <v>7.0000000000000007E-2</v>
      </c>
      <c r="J499" t="s">
        <v>103</v>
      </c>
    </row>
    <row r="500" spans="1:10">
      <c r="A500" s="24">
        <f t="shared" si="9"/>
        <v>42037</v>
      </c>
      <c r="B500" t="s">
        <v>488</v>
      </c>
      <c r="C500" t="s">
        <v>529</v>
      </c>
      <c r="D500">
        <v>59651</v>
      </c>
      <c r="E500" s="24">
        <v>42510</v>
      </c>
      <c r="F500" t="s">
        <v>108</v>
      </c>
      <c r="G500">
        <v>36</v>
      </c>
      <c r="H500">
        <v>283.20999999999998</v>
      </c>
      <c r="I500" s="25">
        <v>0.08</v>
      </c>
      <c r="J500" t="s">
        <v>103</v>
      </c>
    </row>
    <row r="501" spans="1:10">
      <c r="A501" s="24">
        <f t="shared" si="9"/>
        <v>42051</v>
      </c>
      <c r="B501" t="s">
        <v>488</v>
      </c>
      <c r="C501" t="s">
        <v>530</v>
      </c>
      <c r="D501">
        <v>59651</v>
      </c>
      <c r="E501" s="24">
        <v>42510</v>
      </c>
      <c r="F501" t="s">
        <v>108</v>
      </c>
      <c r="G501">
        <v>18</v>
      </c>
      <c r="H501">
        <v>45.8</v>
      </c>
      <c r="I501" s="25">
        <v>0.04</v>
      </c>
      <c r="J501" t="s">
        <v>103</v>
      </c>
    </row>
    <row r="502" spans="1:10">
      <c r="A502" s="24">
        <f t="shared" si="9"/>
        <v>42065</v>
      </c>
      <c r="B502" t="s">
        <v>488</v>
      </c>
      <c r="C502" t="s">
        <v>531</v>
      </c>
      <c r="D502">
        <v>645</v>
      </c>
      <c r="E502" s="24">
        <v>42340</v>
      </c>
      <c r="F502" t="s">
        <v>111</v>
      </c>
      <c r="G502">
        <v>42</v>
      </c>
      <c r="H502">
        <v>557.85</v>
      </c>
      <c r="I502" s="25">
        <v>0.05</v>
      </c>
      <c r="J502" t="s">
        <v>103</v>
      </c>
    </row>
    <row r="503" spans="1:10">
      <c r="A503" s="24">
        <f t="shared" si="9"/>
        <v>42079</v>
      </c>
      <c r="B503" t="s">
        <v>488</v>
      </c>
      <c r="C503" t="s">
        <v>532</v>
      </c>
      <c r="D503">
        <v>769</v>
      </c>
      <c r="E503" s="24">
        <v>42522</v>
      </c>
      <c r="F503" t="s">
        <v>102</v>
      </c>
      <c r="G503">
        <v>37</v>
      </c>
      <c r="H503">
        <v>4261.9399999999996</v>
      </c>
      <c r="I503" s="25">
        <v>0.02</v>
      </c>
      <c r="J503" t="s">
        <v>109</v>
      </c>
    </row>
    <row r="504" spans="1:10">
      <c r="A504" s="24">
        <f t="shared" si="9"/>
        <v>42093</v>
      </c>
      <c r="B504" t="s">
        <v>488</v>
      </c>
      <c r="C504" t="s">
        <v>533</v>
      </c>
      <c r="D504">
        <v>773</v>
      </c>
      <c r="E504" s="24">
        <v>42638</v>
      </c>
      <c r="F504" t="s">
        <v>102</v>
      </c>
      <c r="G504">
        <v>38</v>
      </c>
      <c r="H504">
        <v>2071.3395</v>
      </c>
      <c r="I504" s="25">
        <v>0.06</v>
      </c>
      <c r="J504" t="s">
        <v>103</v>
      </c>
    </row>
    <row r="505" spans="1:10">
      <c r="A505" s="24">
        <f t="shared" si="9"/>
        <v>42107</v>
      </c>
      <c r="B505" t="s">
        <v>488</v>
      </c>
      <c r="C505" t="s">
        <v>534</v>
      </c>
      <c r="D505">
        <v>1187</v>
      </c>
      <c r="E505" s="24">
        <v>42693</v>
      </c>
      <c r="F505" t="s">
        <v>102</v>
      </c>
      <c r="G505">
        <v>14</v>
      </c>
      <c r="H505">
        <v>222.91</v>
      </c>
      <c r="I505" s="25">
        <v>0.05</v>
      </c>
      <c r="J505" t="s">
        <v>103</v>
      </c>
    </row>
    <row r="506" spans="1:10">
      <c r="A506" s="24">
        <f t="shared" si="9"/>
        <v>42121</v>
      </c>
      <c r="B506" t="s">
        <v>488</v>
      </c>
      <c r="C506" t="s">
        <v>535</v>
      </c>
      <c r="D506">
        <v>2339</v>
      </c>
      <c r="E506" s="24">
        <v>42718</v>
      </c>
      <c r="F506" t="s">
        <v>125</v>
      </c>
      <c r="G506">
        <v>12</v>
      </c>
      <c r="H506">
        <v>1634.98</v>
      </c>
      <c r="I506" s="25">
        <v>0.09</v>
      </c>
      <c r="J506" t="s">
        <v>103</v>
      </c>
    </row>
    <row r="507" spans="1:10">
      <c r="A507" s="24">
        <f t="shared" si="9"/>
        <v>42135</v>
      </c>
      <c r="B507" t="s">
        <v>488</v>
      </c>
      <c r="C507" t="s">
        <v>536</v>
      </c>
      <c r="D507">
        <v>3521</v>
      </c>
      <c r="E507" s="24">
        <v>42668</v>
      </c>
      <c r="F507" t="s">
        <v>125</v>
      </c>
      <c r="G507">
        <v>50</v>
      </c>
      <c r="H507">
        <v>204.11</v>
      </c>
      <c r="I507" s="25">
        <v>0.06</v>
      </c>
      <c r="J507" t="s">
        <v>103</v>
      </c>
    </row>
    <row r="508" spans="1:10">
      <c r="A508" s="24">
        <f t="shared" si="9"/>
        <v>42149</v>
      </c>
      <c r="B508" t="s">
        <v>488</v>
      </c>
      <c r="C508" t="s">
        <v>537</v>
      </c>
      <c r="D508">
        <v>4007</v>
      </c>
      <c r="E508" s="24">
        <v>42538</v>
      </c>
      <c r="F508" t="s">
        <v>111</v>
      </c>
      <c r="G508">
        <v>18</v>
      </c>
      <c r="H508">
        <v>1038.4000000000001</v>
      </c>
      <c r="I508" s="25">
        <v>0.01</v>
      </c>
      <c r="J508" t="s">
        <v>103</v>
      </c>
    </row>
    <row r="509" spans="1:10">
      <c r="A509" s="24">
        <f t="shared" si="9"/>
        <v>42163</v>
      </c>
      <c r="B509" t="s">
        <v>488</v>
      </c>
      <c r="C509" t="s">
        <v>538</v>
      </c>
      <c r="D509">
        <v>4007</v>
      </c>
      <c r="E509" s="24">
        <v>42538</v>
      </c>
      <c r="F509" t="s">
        <v>111</v>
      </c>
      <c r="G509">
        <v>1</v>
      </c>
      <c r="H509">
        <v>305.82</v>
      </c>
      <c r="I509" s="25">
        <v>0.05</v>
      </c>
      <c r="J509" t="s">
        <v>103</v>
      </c>
    </row>
    <row r="510" spans="1:10">
      <c r="A510" s="24">
        <f t="shared" si="9"/>
        <v>42177</v>
      </c>
      <c r="B510" t="s">
        <v>488</v>
      </c>
      <c r="C510" t="s">
        <v>539</v>
      </c>
      <c r="D510">
        <v>4416</v>
      </c>
      <c r="E510" s="24">
        <v>42550</v>
      </c>
      <c r="F510" t="s">
        <v>125</v>
      </c>
      <c r="G510">
        <v>46</v>
      </c>
      <c r="H510">
        <v>7441.29</v>
      </c>
      <c r="I510" s="25">
        <v>0.1</v>
      </c>
      <c r="J510" t="s">
        <v>103</v>
      </c>
    </row>
    <row r="511" spans="1:10">
      <c r="A511" s="24">
        <f t="shared" si="9"/>
        <v>42191</v>
      </c>
      <c r="B511" t="s">
        <v>488</v>
      </c>
      <c r="C511" t="s">
        <v>540</v>
      </c>
      <c r="D511">
        <v>4454</v>
      </c>
      <c r="E511" s="24">
        <v>42036</v>
      </c>
      <c r="F511" t="s">
        <v>125</v>
      </c>
      <c r="G511">
        <v>17</v>
      </c>
      <c r="H511">
        <v>55.45</v>
      </c>
      <c r="I511" s="25">
        <v>0.01</v>
      </c>
      <c r="J511" t="s">
        <v>103</v>
      </c>
    </row>
    <row r="512" spans="1:10">
      <c r="A512" s="24">
        <f t="shared" si="9"/>
        <v>42205</v>
      </c>
      <c r="B512" t="s">
        <v>488</v>
      </c>
      <c r="C512" t="s">
        <v>541</v>
      </c>
      <c r="D512">
        <v>5153</v>
      </c>
      <c r="E512" s="24">
        <v>41876</v>
      </c>
      <c r="F512" t="s">
        <v>108</v>
      </c>
      <c r="G512">
        <v>37</v>
      </c>
      <c r="H512">
        <v>4896.93</v>
      </c>
      <c r="I512" s="25">
        <v>0.04</v>
      </c>
      <c r="J512" t="s">
        <v>120</v>
      </c>
    </row>
    <row r="513" spans="1:10">
      <c r="A513" s="24">
        <f t="shared" si="9"/>
        <v>42219</v>
      </c>
      <c r="B513" t="s">
        <v>488</v>
      </c>
      <c r="C513" t="s">
        <v>542</v>
      </c>
      <c r="D513">
        <v>5446</v>
      </c>
      <c r="E513" s="24">
        <v>42175</v>
      </c>
      <c r="F513" t="s">
        <v>125</v>
      </c>
      <c r="G513">
        <v>42</v>
      </c>
      <c r="H513">
        <v>433.68</v>
      </c>
      <c r="I513" s="25">
        <v>7.0000000000000007E-2</v>
      </c>
      <c r="J513" t="s">
        <v>103</v>
      </c>
    </row>
    <row r="514" spans="1:10">
      <c r="A514" s="24">
        <f t="shared" si="9"/>
        <v>42233</v>
      </c>
      <c r="B514" t="s">
        <v>488</v>
      </c>
      <c r="C514" t="s">
        <v>543</v>
      </c>
      <c r="D514">
        <v>8131</v>
      </c>
      <c r="E514" s="24">
        <v>42493</v>
      </c>
      <c r="F514" t="s">
        <v>108</v>
      </c>
      <c r="G514">
        <v>24</v>
      </c>
      <c r="H514">
        <v>717.29</v>
      </c>
      <c r="I514" s="25">
        <v>0.01</v>
      </c>
      <c r="J514" t="s">
        <v>103</v>
      </c>
    </row>
    <row r="515" spans="1:10">
      <c r="A515" s="24">
        <f t="shared" si="9"/>
        <v>42247</v>
      </c>
      <c r="B515" t="s">
        <v>544</v>
      </c>
      <c r="C515" t="s">
        <v>545</v>
      </c>
      <c r="D515">
        <v>8994</v>
      </c>
      <c r="E515" s="24">
        <v>42101</v>
      </c>
      <c r="F515" t="s">
        <v>125</v>
      </c>
      <c r="G515">
        <v>36</v>
      </c>
      <c r="H515">
        <v>1423.35</v>
      </c>
      <c r="I515" s="25">
        <v>0.1</v>
      </c>
      <c r="J515" t="s">
        <v>103</v>
      </c>
    </row>
    <row r="516" spans="1:10">
      <c r="A516" s="24">
        <f t="shared" ref="A516:A517" si="10">EDATE(A515, 0) + 14</f>
        <v>42261</v>
      </c>
      <c r="B516" t="s">
        <v>544</v>
      </c>
      <c r="C516" t="s">
        <v>546</v>
      </c>
      <c r="D516">
        <v>9027</v>
      </c>
      <c r="E516" s="24">
        <v>41884</v>
      </c>
      <c r="F516" t="s">
        <v>125</v>
      </c>
      <c r="G516">
        <v>30</v>
      </c>
      <c r="H516">
        <v>932.89199999999994</v>
      </c>
      <c r="I516" s="25">
        <v>0.05</v>
      </c>
      <c r="J516" t="s">
        <v>103</v>
      </c>
    </row>
    <row r="517" spans="1:10">
      <c r="A517" s="24">
        <f t="shared" si="10"/>
        <v>42275</v>
      </c>
      <c r="B517" t="s">
        <v>544</v>
      </c>
      <c r="C517" t="s">
        <v>547</v>
      </c>
      <c r="D517">
        <v>9216</v>
      </c>
      <c r="E517" s="24">
        <v>41743</v>
      </c>
      <c r="F517" t="s">
        <v>102</v>
      </c>
      <c r="G517">
        <v>36</v>
      </c>
      <c r="H517">
        <v>5977.63</v>
      </c>
      <c r="I517" s="25">
        <v>0.1</v>
      </c>
      <c r="J517" t="s">
        <v>109</v>
      </c>
    </row>
    <row r="518" spans="1:10">
      <c r="E518" s="24"/>
    </row>
    <row r="519" spans="1:10">
      <c r="E519" s="24"/>
    </row>
    <row r="520" spans="1:10">
      <c r="E520" s="24"/>
    </row>
    <row r="521" spans="1:10">
      <c r="E521" s="24"/>
    </row>
    <row r="522" spans="1:10">
      <c r="E522" s="24"/>
    </row>
    <row r="523" spans="1:10">
      <c r="E523" s="24"/>
    </row>
    <row r="524" spans="1:10">
      <c r="E524" s="24"/>
    </row>
    <row r="525" spans="1:10">
      <c r="E525" s="24"/>
    </row>
    <row r="526" spans="1:10">
      <c r="E526" s="24"/>
    </row>
    <row r="527" spans="1:10">
      <c r="E527" s="24"/>
    </row>
    <row r="528" spans="1:10">
      <c r="E528" s="24"/>
    </row>
    <row r="529" spans="5:5">
      <c r="E529" s="24"/>
    </row>
    <row r="530" spans="5:5">
      <c r="E530" s="24"/>
    </row>
    <row r="531" spans="5:5">
      <c r="E531" s="24"/>
    </row>
    <row r="532" spans="5:5">
      <c r="E532" s="24"/>
    </row>
    <row r="533" spans="5:5">
      <c r="E533" s="24"/>
    </row>
    <row r="534" spans="5:5">
      <c r="E534" s="24"/>
    </row>
    <row r="535" spans="5:5">
      <c r="E535" s="24"/>
    </row>
    <row r="536" spans="5:5">
      <c r="E536" s="24"/>
    </row>
    <row r="537" spans="5:5">
      <c r="E537" s="24"/>
    </row>
    <row r="538" spans="5:5">
      <c r="E538" s="24"/>
    </row>
    <row r="539" spans="5:5">
      <c r="E539" s="24"/>
    </row>
    <row r="540" spans="5:5">
      <c r="E540" s="24"/>
    </row>
    <row r="541" spans="5:5">
      <c r="E541" s="24"/>
    </row>
    <row r="542" spans="5:5">
      <c r="E542" s="24"/>
    </row>
    <row r="543" spans="5:5">
      <c r="E543" s="24"/>
    </row>
    <row r="544" spans="5:5">
      <c r="E544" s="24"/>
    </row>
    <row r="545" spans="5:5">
      <c r="E545" s="24"/>
    </row>
    <row r="546" spans="5:5">
      <c r="E546" s="24"/>
    </row>
    <row r="547" spans="5:5">
      <c r="E547" s="24"/>
    </row>
    <row r="548" spans="5:5">
      <c r="E548" s="24"/>
    </row>
    <row r="549" spans="5:5">
      <c r="E549" s="24"/>
    </row>
    <row r="550" spans="5:5">
      <c r="E550" s="24"/>
    </row>
    <row r="551" spans="5:5">
      <c r="E551" s="24"/>
    </row>
    <row r="552" spans="5:5">
      <c r="E552" s="24"/>
    </row>
    <row r="553" spans="5:5">
      <c r="E553" s="24"/>
    </row>
    <row r="554" spans="5:5">
      <c r="E554" s="24"/>
    </row>
    <row r="555" spans="5:5">
      <c r="E555" s="24"/>
    </row>
    <row r="556" spans="5:5">
      <c r="E556" s="24"/>
    </row>
    <row r="557" spans="5:5">
      <c r="E557" s="24"/>
    </row>
    <row r="558" spans="5:5">
      <c r="E558" s="24"/>
    </row>
    <row r="559" spans="5:5">
      <c r="E559" s="24"/>
    </row>
    <row r="560" spans="5:5">
      <c r="E560" s="24"/>
    </row>
    <row r="561" spans="5:5">
      <c r="E561" s="24"/>
    </row>
    <row r="562" spans="5:5">
      <c r="E562" s="24"/>
    </row>
    <row r="563" spans="5:5">
      <c r="E563" s="24"/>
    </row>
    <row r="564" spans="5:5">
      <c r="E564" s="24"/>
    </row>
    <row r="565" spans="5:5">
      <c r="E565" s="24"/>
    </row>
    <row r="566" spans="5:5">
      <c r="E566" s="24"/>
    </row>
    <row r="567" spans="5:5">
      <c r="E567" s="24"/>
    </row>
    <row r="568" spans="5:5">
      <c r="E568" s="24"/>
    </row>
    <row r="569" spans="5:5">
      <c r="E569" s="24"/>
    </row>
    <row r="570" spans="5:5">
      <c r="E570" s="24"/>
    </row>
    <row r="571" spans="5:5">
      <c r="E571" s="24"/>
    </row>
    <row r="572" spans="5:5">
      <c r="E572" s="24"/>
    </row>
    <row r="573" spans="5:5">
      <c r="E573" s="24"/>
    </row>
    <row r="574" spans="5:5">
      <c r="E574" s="24"/>
    </row>
    <row r="575" spans="5:5">
      <c r="E575" s="24"/>
    </row>
    <row r="576" spans="5:5">
      <c r="E576" s="24"/>
    </row>
    <row r="577" spans="5:5">
      <c r="E577" s="24"/>
    </row>
    <row r="578" spans="5:5">
      <c r="E578" s="24"/>
    </row>
    <row r="579" spans="5:5">
      <c r="E579" s="24"/>
    </row>
    <row r="580" spans="5:5">
      <c r="E580" s="24"/>
    </row>
    <row r="581" spans="5:5">
      <c r="E581" s="24"/>
    </row>
    <row r="582" spans="5:5">
      <c r="E582" s="24"/>
    </row>
    <row r="583" spans="5:5">
      <c r="E583" s="24"/>
    </row>
    <row r="584" spans="5:5">
      <c r="E584" s="24"/>
    </row>
    <row r="585" spans="5:5">
      <c r="E585" s="24"/>
    </row>
    <row r="586" spans="5:5">
      <c r="E586" s="24"/>
    </row>
    <row r="587" spans="5:5">
      <c r="E587" s="24"/>
    </row>
    <row r="588" spans="5:5">
      <c r="E588" s="24"/>
    </row>
    <row r="589" spans="5:5">
      <c r="E589" s="24"/>
    </row>
    <row r="590" spans="5:5">
      <c r="E590" s="24"/>
    </row>
    <row r="591" spans="5:5">
      <c r="E591" s="24"/>
    </row>
    <row r="592" spans="5:5">
      <c r="E592" s="24"/>
    </row>
    <row r="593" spans="5:5">
      <c r="E593" s="24"/>
    </row>
    <row r="594" spans="5:5">
      <c r="E594" s="24"/>
    </row>
    <row r="595" spans="5:5">
      <c r="E595" s="24"/>
    </row>
    <row r="596" spans="5:5">
      <c r="E596" s="24"/>
    </row>
    <row r="597" spans="5:5">
      <c r="E597" s="24"/>
    </row>
    <row r="598" spans="5:5">
      <c r="E598" s="24"/>
    </row>
    <row r="599" spans="5:5">
      <c r="E599" s="24"/>
    </row>
    <row r="600" spans="5:5">
      <c r="E600" s="24"/>
    </row>
    <row r="601" spans="5:5">
      <c r="E601" s="24"/>
    </row>
    <row r="602" spans="5:5">
      <c r="E602" s="24"/>
    </row>
    <row r="603" spans="5:5">
      <c r="E603" s="24"/>
    </row>
    <row r="604" spans="5:5">
      <c r="E604" s="24"/>
    </row>
    <row r="605" spans="5:5">
      <c r="E605" s="24"/>
    </row>
    <row r="606" spans="5:5">
      <c r="E606" s="24"/>
    </row>
    <row r="607" spans="5:5">
      <c r="E607" s="24"/>
    </row>
    <row r="608" spans="5:5">
      <c r="E608" s="24"/>
    </row>
    <row r="609" spans="5:5">
      <c r="E609" s="24"/>
    </row>
    <row r="610" spans="5:5">
      <c r="E610" s="24"/>
    </row>
    <row r="611" spans="5:5">
      <c r="E611" s="24"/>
    </row>
    <row r="612" spans="5:5">
      <c r="E612" s="24"/>
    </row>
    <row r="613" spans="5:5">
      <c r="E613" s="24"/>
    </row>
    <row r="614" spans="5:5">
      <c r="E614" s="24"/>
    </row>
    <row r="615" spans="5:5">
      <c r="E615" s="24"/>
    </row>
    <row r="616" spans="5:5">
      <c r="E616" s="24"/>
    </row>
    <row r="617" spans="5:5">
      <c r="E617" s="24"/>
    </row>
    <row r="618" spans="5:5">
      <c r="E618" s="24"/>
    </row>
    <row r="619" spans="5:5">
      <c r="E619" s="24"/>
    </row>
    <row r="620" spans="5:5">
      <c r="E620" s="24"/>
    </row>
    <row r="621" spans="5:5">
      <c r="E621" s="24"/>
    </row>
    <row r="622" spans="5:5">
      <c r="E622" s="24"/>
    </row>
    <row r="623" spans="5:5">
      <c r="E623" s="24"/>
    </row>
    <row r="624" spans="5:5">
      <c r="E624" s="24"/>
    </row>
    <row r="625" spans="5:5">
      <c r="E625" s="24"/>
    </row>
    <row r="626" spans="5:5">
      <c r="E626" s="24"/>
    </row>
    <row r="627" spans="5:5">
      <c r="E627" s="24"/>
    </row>
    <row r="628" spans="5:5">
      <c r="E628" s="24"/>
    </row>
    <row r="629" spans="5:5">
      <c r="E629" s="24"/>
    </row>
    <row r="630" spans="5:5">
      <c r="E630" s="24"/>
    </row>
    <row r="631" spans="5:5">
      <c r="E631" s="24"/>
    </row>
    <row r="632" spans="5:5">
      <c r="E632" s="24"/>
    </row>
    <row r="633" spans="5:5">
      <c r="E633" s="24"/>
    </row>
    <row r="634" spans="5:5">
      <c r="E634" s="24"/>
    </row>
    <row r="635" spans="5:5">
      <c r="E635" s="24"/>
    </row>
    <row r="636" spans="5:5">
      <c r="E636" s="24"/>
    </row>
    <row r="637" spans="5:5">
      <c r="E637" s="24"/>
    </row>
    <row r="638" spans="5:5">
      <c r="E638" s="24"/>
    </row>
    <row r="639" spans="5:5">
      <c r="E639" s="24"/>
    </row>
    <row r="640" spans="5:5">
      <c r="E640" s="24"/>
    </row>
    <row r="641" spans="5:5">
      <c r="E641" s="24"/>
    </row>
    <row r="642" spans="5:5">
      <c r="E642" s="24"/>
    </row>
    <row r="643" spans="5:5">
      <c r="E643" s="24"/>
    </row>
    <row r="644" spans="5:5">
      <c r="E644" s="24"/>
    </row>
    <row r="645" spans="5:5">
      <c r="E645" s="24"/>
    </row>
    <row r="646" spans="5:5">
      <c r="E646" s="24"/>
    </row>
    <row r="647" spans="5:5">
      <c r="E647" s="24"/>
    </row>
    <row r="648" spans="5:5">
      <c r="E648" s="24"/>
    </row>
    <row r="649" spans="5:5">
      <c r="E649" s="24"/>
    </row>
    <row r="650" spans="5:5">
      <c r="E650" s="24"/>
    </row>
    <row r="651" spans="5:5">
      <c r="E651" s="24"/>
    </row>
    <row r="652" spans="5:5">
      <c r="E652" s="24"/>
    </row>
    <row r="653" spans="5:5">
      <c r="E653" s="24"/>
    </row>
    <row r="654" spans="5:5">
      <c r="E654" s="24"/>
    </row>
    <row r="655" spans="5:5">
      <c r="E655" s="24"/>
    </row>
    <row r="656" spans="5:5">
      <c r="E656" s="24"/>
    </row>
    <row r="657" spans="5:5">
      <c r="E657" s="24"/>
    </row>
    <row r="658" spans="5:5">
      <c r="E658" s="24"/>
    </row>
    <row r="659" spans="5:5">
      <c r="E659" s="24"/>
    </row>
    <row r="660" spans="5:5">
      <c r="E660" s="24"/>
    </row>
  </sheetData>
  <conditionalFormatting sqref="C1:C1048576 E1:F1048576">
    <cfRule type="expression" dxfId="0" priority="1">
      <formula>AND(EXACT(TRIM($J2), "דואר רגיל"), $G2 &gt; 27)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ED55C-9DB1-4295-8EA9-B9A1BC0880A0}">
  <sheetPr codeName="Sheet3"/>
  <dimension ref="Z1"/>
  <sheetViews>
    <sheetView topLeftCell="L1" workbookViewId="0">
      <selection activeCell="L1" sqref="L1"/>
    </sheetView>
  </sheetViews>
  <sheetFormatPr defaultRowHeight="15"/>
  <sheetData>
    <row r="1" spans="26:26">
      <c r="Z1" s="9" t="s">
        <v>553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פרטים אישיים</vt:lpstr>
      <vt:lpstr>Question 1</vt:lpstr>
      <vt:lpstr>Question 2</vt:lpstr>
      <vt:lpstr>Question 3</vt:lpstr>
      <vt:lpstr>Question 4</vt:lpstr>
      <vt:lpstr>Question 5</vt:lpstr>
      <vt:lpstr>Question 6</vt:lpstr>
      <vt:lpstr>Question 7</vt:lpstr>
      <vt:lpstr>Question 8</vt:lpstr>
      <vt:lpstr>Question 9</vt:lpstr>
      <vt:lpstr>'Question 1'!MonthLookup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IsraelD7</dc:creator>
  <cp:lastModifiedBy>ESTIVEN CASTRILLON ALZATE</cp:lastModifiedBy>
  <dcterms:created xsi:type="dcterms:W3CDTF">2017-02-01T10:30:48Z</dcterms:created>
  <dcterms:modified xsi:type="dcterms:W3CDTF">2024-07-02T23:23:23Z</dcterms:modified>
</cp:coreProperties>
</file>